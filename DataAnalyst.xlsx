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08626EE4-0399-430C-BA4D-06A93EACA91D}" xr6:coauthVersionLast="47" xr6:coauthVersionMax="47" xr10:uidLastSave="{00000000-0000-0000-0000-000000000000}"/>
  <bookViews>
    <workbookView xWindow="-21720" yWindow="-9210" windowWidth="21840" windowHeight="13740" activeTab="4" xr2:uid="{00000000-000D-0000-FFFF-FFFF00000000}"/>
  </bookViews>
  <sheets>
    <sheet name="Sheet1" sheetId="1" r:id="rId1"/>
    <sheet name="creatingtable" sheetId="2" r:id="rId2"/>
    <sheet name="Products" sheetId="3" r:id="rId3"/>
    <sheet name="Transactions" sheetId="4" r:id="rId4"/>
    <sheet name="Inventory" sheetId="5" r:id="rId5"/>
    <sheet name="Order" sheetId="6" r:id="rId6"/>
  </sheets>
  <definedNames>
    <definedName name="ProductList">Products[ProductID]</definedName>
    <definedName name="Slicer_Supplier">#N/A</definedName>
  </definedNames>
  <calcPr calcId="191029"/>
  <pivotCaches>
    <pivotCache cacheId="39" r:id="rId7"/>
  </pivotCaches>
  <fileRecoveryPr repairLoad="1"/>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I2" i="5" s="1"/>
  <c r="F12" i="5"/>
  <c r="I12" i="5" s="1"/>
  <c r="F13" i="5"/>
  <c r="I13" i="5" s="1"/>
  <c r="F14" i="5"/>
  <c r="I14" i="5" s="1"/>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H2" i="5" s="1"/>
  <c r="E12" i="5"/>
  <c r="H12" i="5" s="1"/>
  <c r="E13" i="5"/>
  <c r="H13" i="5" s="1"/>
  <c r="E14" i="5"/>
  <c r="H14" i="5" s="1"/>
  <c r="E15" i="5"/>
  <c r="H15" i="5" s="1"/>
  <c r="E16" i="5"/>
  <c r="H16" i="5" s="1"/>
  <c r="E17" i="5"/>
  <c r="H17" i="5" s="1"/>
  <c r="E18" i="5"/>
  <c r="H18" i="5" s="1"/>
  <c r="E3" i="5"/>
  <c r="H3" i="5" s="1"/>
  <c r="E19" i="5"/>
  <c r="H19" i="5" s="1"/>
  <c r="E20" i="5"/>
  <c r="H20" i="5" s="1"/>
  <c r="E21" i="5"/>
  <c r="H21" i="5" s="1"/>
  <c r="E22" i="5"/>
  <c r="H22" i="5" s="1"/>
  <c r="E23" i="5"/>
  <c r="H23" i="5" s="1"/>
  <c r="E24" i="5"/>
  <c r="H24" i="5" s="1"/>
  <c r="E25" i="5"/>
  <c r="H25" i="5" s="1"/>
  <c r="E26" i="5"/>
  <c r="H26" i="5" s="1"/>
  <c r="E27" i="5"/>
  <c r="H27" i="5" s="1"/>
  <c r="E4" i="5"/>
  <c r="H4" i="5" s="1"/>
  <c r="E28" i="5"/>
  <c r="H28" i="5" s="1"/>
  <c r="E29" i="5"/>
  <c r="H29" i="5" s="1"/>
  <c r="E30" i="5"/>
  <c r="H30" i="5" s="1"/>
  <c r="E31" i="5"/>
  <c r="H31" i="5" s="1"/>
  <c r="E32" i="5"/>
  <c r="H32" i="5" s="1"/>
  <c r="E33" i="5"/>
  <c r="H33" i="5" s="1"/>
  <c r="E34" i="5"/>
  <c r="H34" i="5" s="1"/>
  <c r="E35" i="5"/>
  <c r="H35" i="5" s="1"/>
  <c r="E5" i="5"/>
  <c r="H5" i="5" s="1"/>
  <c r="E36" i="5"/>
  <c r="H36" i="5" s="1"/>
  <c r="E37" i="5"/>
  <c r="H37" i="5" s="1"/>
  <c r="E38" i="5"/>
  <c r="H38" i="5" s="1"/>
  <c r="E6" i="5"/>
  <c r="H6" i="5" s="1"/>
  <c r="E39" i="5"/>
  <c r="H39" i="5" s="1"/>
  <c r="E40" i="5"/>
  <c r="H40" i="5" s="1"/>
  <c r="E41" i="5"/>
  <c r="H41" i="5" s="1"/>
  <c r="E7" i="5"/>
  <c r="H7" i="5" s="1"/>
  <c r="E8" i="5"/>
  <c r="H8" i="5" s="1"/>
  <c r="E42" i="5"/>
  <c r="H42" i="5" s="1"/>
  <c r="E43" i="5"/>
  <c r="H43" i="5" s="1"/>
  <c r="E44" i="5"/>
  <c r="H44" i="5" s="1"/>
  <c r="E9" i="5"/>
  <c r="H9" i="5" s="1"/>
  <c r="E45" i="5"/>
  <c r="H45" i="5" s="1"/>
  <c r="E46" i="5"/>
  <c r="H46" i="5" s="1"/>
  <c r="E47" i="5"/>
  <c r="H47" i="5" s="1"/>
  <c r="E10" i="5"/>
  <c r="H10" i="5" s="1"/>
  <c r="E11" i="5"/>
  <c r="H11" i="5" s="1"/>
  <c r="E48" i="5"/>
  <c r="H48" i="5" s="1"/>
  <c r="E49" i="5"/>
  <c r="H49" i="5" s="1"/>
  <c r="E50" i="5"/>
  <c r="H50" i="5" s="1"/>
  <c r="E51" i="5"/>
  <c r="H51" i="5" s="1"/>
  <c r="E52" i="5"/>
  <c r="H52" i="5" s="1"/>
  <c r="E53" i="5"/>
  <c r="H53" i="5" s="1"/>
  <c r="E54" i="5"/>
  <c r="H54" i="5" s="1"/>
  <c r="E55" i="5"/>
  <c r="H55" i="5" s="1"/>
  <c r="E56" i="5"/>
  <c r="H56" i="5" s="1"/>
  <c r="E57" i="5"/>
  <c r="H57" i="5" s="1"/>
  <c r="E58" i="5"/>
  <c r="H58" i="5" s="1"/>
  <c r="E59" i="5"/>
  <c r="H59" i="5" s="1"/>
  <c r="E60" i="5"/>
  <c r="H60" i="5" s="1"/>
  <c r="E61" i="5"/>
  <c r="H61" i="5" s="1"/>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6" i="5" l="1"/>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<sst xmlns="http://schemas.openxmlformats.org/spreadsheetml/2006/main" count="803" uniqueCount="320">
  <si>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</si>
  <si>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</si>
  <si>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</si>
  <si>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</si>
  <si>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</si>
  <si>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</si>
  <si>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</si>
  <si>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</si>
  <si>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</si>
  <si>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</si>
  <si>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</si>
  <si>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</si>
  <si>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</si>
  <si>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</si>
  <si>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</si>
  <si>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</si>
  <si>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</si>
  <si>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</si>
  <si>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</si>
  <si>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</si>
  <si>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</si>
  <si>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</si>
  <si>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</si>
  <si>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</si>
  <si>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</si>
  <si>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</si>
  <si>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</si>
  <si>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</si>
  <si>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</si>
  <si>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</si>
  <si>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</si>
  <si>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</si>
  <si>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</si>
  <si>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</si>
  <si>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</si>
  <si>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</si>
  <si>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</si>
  <si>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</si>
  <si>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</si>
  <si>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</si>
  <si>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</si>
  <si>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</si>
  <si>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</si>
  <si>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</si>
  <si>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</si>
  <si>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</si>
  <si>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</si>
  <si>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</si>
  <si>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</si>
  <si>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</si>
  <si>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</si>
  <si>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</si>
  <si>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</si>
  <si>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</si>
  <si>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</si>
  <si>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</si>
  <si>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</si>
  <si>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</si>
  <si>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</si>
  <si>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</si>
  <si>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</si>
  <si>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</si>
  <si>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</si>
  <si>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</si>
  <si>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</si>
  <si>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</si>
  <si>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</si>
  <si>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</si>
  <si>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</si>
  <si>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</si>
  <si>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</si>
  <si>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</si>
  <si>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</si>
  <si>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</si>
  <si>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</si>
  <si>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</si>
  <si>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</si>
  <si>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</si>
  <si>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</si>
  <si>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</si>
  <si>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</si>
  <si>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</si>
  <si>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</si>
  <si>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</si>
  <si>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</si>
  <si>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</si>
  <si>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</si>
  <si>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</si>
  <si>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</si>
  <si>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</si>
  <si>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</si>
  <si>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</si>
  <si>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</si>
  <si>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</si>
  <si>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</si>
  <si>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</si>
  <si>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</si>
  <si>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</si>
  <si>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</si>
  <si>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</si>
  <si>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</si>
  <si>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</si>
  <si>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</si>
  <si>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</si>
  <si>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</si>
  <si>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</si>
  <si>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</si>
  <si>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</si>
  <si>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</si>
  <si>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</si>
  <si>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</si>
  <si>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</si>
  <si>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</si>
  <si>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</si>
  <si>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</si>
  <si>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</si>
  <si>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</si>
  <si>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</si>
  <si>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</si>
  <si>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</si>
  <si>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</si>
  <si>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</si>
  <si>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</si>
  <si>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</si>
  <si>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</si>
  <si>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</si>
  <si>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</si>
  <si>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</si>
  <si>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</si>
  <si>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</si>
  <si>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</si>
  <si>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</si>
  <si>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</si>
  <si>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</si>
  <si>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</si>
  <si>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</si>
  <si>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</si>
  <si>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</si>
  <si>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</si>
  <si>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</si>
  <si>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</si>
  <si>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</si>
  <si>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</si>
  <si>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</si>
  <si>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</si>
  <si>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</si>
  <si>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</si>
  <si>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</si>
  <si>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</si>
  <si>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</si>
  <si>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</si>
  <si>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</si>
  <si>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</si>
  <si>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</si>
  <si>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</si>
  <si>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</si>
  <si>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</si>
  <si>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</si>
  <si>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</si>
  <si>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</si>
  <si>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</si>
  <si>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</si>
  <si>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</si>
  <si>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</si>
  <si>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</si>
  <si>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</si>
  <si>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</si>
  <si>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</si>
  <si>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</si>
  <si>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</si>
  <si>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</si>
  <si>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</si>
  <si>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</si>
  <si>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</si>
  <si>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</si>
  <si>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</si>
  <si>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</si>
  <si>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</si>
  <si>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</si>
  <si>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</si>
  <si>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</si>
  <si>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</si>
  <si>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</si>
  <si>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</si>
  <si>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</si>
  <si>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</si>
  <si>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</si>
  <si>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</si>
  <si>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</si>
  <si>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</si>
  <si>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</si>
  <si>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</si>
  <si>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</si>
  <si>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</si>
  <si>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</si>
  <si>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</si>
  <si>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</si>
  <si>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</si>
  <si>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</si>
  <si>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</si>
  <si>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</si>
  <si>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</si>
  <si>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</si>
  <si>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</si>
  <si>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</si>
  <si>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</si>
  <si>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</si>
  <si>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</si>
  <si>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</si>
  <si>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</si>
  <si>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</si>
  <si>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</si>
  <si>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</si>
  <si>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</si>
  <si>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</si>
  <si>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</si>
  <si>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</si>
  <si>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</si>
  <si>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</si>
  <si>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</si>
  <si>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</si>
  <si>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</si>
  <si>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</si>
  <si>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</si>
  <si>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</si>
  <si>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</si>
  <si>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</si>
  <si>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</si>
  <si>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</si>
  <si>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</si>
  <si>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</si>
  <si>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</si>
  <si>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</si>
  <si>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</si>
  <si>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</si>
  <si>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</si>
  <si>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</si>
  <si>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</si>
  <si>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</si>
  <si>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</si>
  <si>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</si>
  <si>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</si>
  <si>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</si>
  <si>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</si>
  <si>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</si>
  <si>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</si>
  <si>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</si>
  <si>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</si>
  <si>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</si>
  <si>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</si>
  <si>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</si>
  <si>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</si>
  <si>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</si>
  <si>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</si>
  <si>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</si>
  <si>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</si>
  <si>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</si>
  <si>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</si>
  <si>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</si>
  <si>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</si>
  <si>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</si>
  <si>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</si>
  <si>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</si>
  <si>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</si>
  <si>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</si>
  <si>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</si>
  <si>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</si>
  <si>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</si>
  <si>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</si>
  <si>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</si>
  <si>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</si>
  <si>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</si>
  <si>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</si>
  <si>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</si>
  <si>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</si>
  <si>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</si>
  <si>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</si>
  <si>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</si>
  <si>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</si>
  <si>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</si>
  <si>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</si>
  <si>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</si>
  <si>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</si>
  <si>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</si>
  <si>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</si>
  <si>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</si>
  <si>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</si>
  <si>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</si>
  <si>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</si>
  <si>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</si>
  <si>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</si>
  <si>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</si>
  <si>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</si>
  <si>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</si>
  <si>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</si>
  <si>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</si>
  <si>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</si>
  <si>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</si>
  <si>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</si>
  <si>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</si>
  <si>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</si>
  <si>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</si>
  <si>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</si>
  <si>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</si>
  <si>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</si>
  <si>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Row Labels</t>
  </si>
  <si>
    <t>Grand Total</t>
  </si>
  <si>
    <t>Column Labels</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</si>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</sst>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quot;$&quot;#,##0.00"/>
    <numFmt numFmtId="44" formatCode="_-&quot;$&quot;* #,##0.00_-;\-&quot;$&quot;* #,##0.00_-;_-&quot;$&quot;* &quot;-&quot;??_-;_-@_-"/>
    <numFmt numFmtId="43" formatCode="_-* #,##0.00_-;\-* #,##0.00_-;_-* &quot;-&quot;??_-;_-@_-"/>
    <numFmt numFmtId="164" formatCode="mmm/dd"/>
  </numFmts>
  <fonts count="12"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5">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0" fontId="11" fillId="0" borderId="0" xfId="0" applyFont="1" applyAlignment="1">
      <alignment horizontal="center"/>
    </xf>
    <xf numFmtId="0" fontId="11" fillId="0" borderId="3" xfId="10" applyFont="1"/>
    <xf numFmtId="43" fontId="11" fillId="0" borderId="3" xfId="2" applyFont="1"/>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8">
    <dxf>
      <font>
        <b/>
        <strike val="0"/>
        <outline val="0"/>
        <shadow val="0"/>
        <u val="none"/>
        <vertAlign val="baseline"/>
        <sz val="12"/>
        <color theme="1"/>
        <name val="Calibri"/>
        <family val="2"/>
        <scheme val="minor"/>
      </font>
    </dxf>
    <dxf>
      <font>
        <b/>
        <strike val="0"/>
        <outline val="0"/>
        <shadow val="0"/>
        <u val="none"/>
        <vertAlign val="baseline"/>
        <sz val="12"/>
        <color theme="1"/>
        <name val="Calibri"/>
        <family val="2"/>
        <scheme val="minor"/>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295275</xdr:colOff>
      <xdr:row>3</xdr:row>
      <xdr:rowOff>9525</xdr:rowOff>
    </xdr:from>
    <xdr:to>
      <xdr:col>8</xdr:col>
      <xdr:colOff>180975</xdr:colOff>
      <xdr:row>17</xdr:row>
      <xdr:rowOff>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876925" y="552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6.631442939812"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31"/>
    <tableColumn id="2" xr3:uid="{00000000-0010-0000-0000-000002000000}" name="COMPANIES" totalsRowDxfId="30"/>
    <tableColumn id="3" xr3:uid="{00000000-0010-0000-0000-000003000000}" name="NUMBER OF EMPLOYEES" totalsRowDxfId="29"/>
    <tableColumn id="4" xr3:uid="{00000000-0010-0000-0000-000004000000}" name="COLOR" totalsRowDxfId="28"/>
    <tableColumn id="5" xr3:uid="{00000000-0010-0000-0000-000005000000}" name="LAUNCH DATE" totalsRowDxfId="27"/>
    <tableColumn id="6" xr3:uid="{00000000-0010-0000-0000-000006000000}" name="QUANTITY" totalsRowFunction="sum" totalsRowDxfId="26"/>
    <tableColumn id="7" xr3:uid="{00000000-0010-0000-0000-000007000000}" name="PRICE" totalsRowFunction="sum" totalsRowDxfId="25"/>
    <tableColumn id="8" xr3:uid="{00000000-0010-0000-0000-000008000000}" name="AMOUNT" totalsRowFunction="sum" totalsRowDxfId="24"/>
    <tableColumn id="9" xr3:uid="{00000000-0010-0000-0000-000009000000}" name="QUANTITY " totalsRowDxfId="23"/>
    <tableColumn id="10" xr3:uid="{00000000-0010-0000-0000-00000A000000}" name="PRICE " totalsRowDxfId="22"/>
    <tableColumn id="11" xr3:uid="{00000000-0010-0000-0000-00000B000000}" name="AMOUNT " totalsRowFunction="sum" totalsRowDxfId="21"/>
    <tableColumn id="12" xr3:uid="{00000000-0010-0000-0000-00000C000000}" name="QUANTITY  " totalsRowDxfId="20"/>
    <tableColumn id="13" xr3:uid="{00000000-0010-0000-0000-00000D000000}" name="PRICE  " totalsRowDxfId="19"/>
    <tableColumn id="14" xr3:uid="{00000000-0010-0000-0000-00000E000000}" name="AMOUNT  " totalsRowFunction="sum" totalsRowDxfId="18"/>
    <tableColumn id="15" xr3:uid="{00000000-0010-0000-0000-00000F000000}" name="TOTAL" totalsRowFunction="sum" totalsRowDxfId="1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6">
  <autoFilter ref="A1:F61" xr:uid="{40BC2372-BD88-49F5-808E-66ED1AE47FE9}"/>
  <tableColumns count="6">
    <tableColumn id="1" xr3:uid="{E8F4DFB0-EC56-4CBF-9F8C-23EDCA50F713}" name="ProductID" dataCellStyle="Normal 3"/>
    <tableColumn id="2" xr3:uid="{01A2DB73-B8C2-4A45-A7CC-94CB4A4A2FEF}" name="Product Name" dataDxfId="15" dataCellStyle="Comma 2"/>
    <tableColumn id="3" xr3:uid="{D7712E33-EC2C-4BBC-9183-D4083230AE51}" name="Category" dataCellStyle="Normal 3"/>
    <tableColumn id="4" xr3:uid="{10280736-93EE-4A73-97B0-1F59FABAB46F}" name="Cost/Unit" dataDxfId="14" dataCellStyle="Comma 2"/>
    <tableColumn id="5" xr3:uid="{AC22B57B-F391-4278-9CEA-6381C3C7599A}" name="Reorder Level" dataDxfId="13" dataCellStyle="Normal 3"/>
    <tableColumn id="6" xr3:uid="{ECE3A126-A7F6-4E8A-B4CA-AC1B78868DAB}" name="Supplier" dataDxfId="12"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61" totalsRowShown="0" headerRowDxfId="1">
  <autoFilter ref="A1:F61" xr:uid="{03C4EC66-596A-4191-8AD5-8C56A2B0936F}"/>
  <tableColumns count="6">
    <tableColumn id="1" xr3:uid="{CF0FBA31-2E94-4135-8B0A-A8ADD4C1D54E}" name="TransID"/>
    <tableColumn id="2" xr3:uid="{EB83FE89-2487-49C6-80BE-246C3764EFC8}" name="Date" dataDxfId="11"/>
    <tableColumn id="3" xr3:uid="{FE85118D-4F73-4CC4-947F-D727DBCF045B}" name="ProductID"/>
    <tableColumn id="4" xr3:uid="{890FE897-5C0E-4846-94E3-254F9AB59CC8}" name="Site" dataDxfId="10"/>
    <tableColumn id="5" xr3:uid="{D5DF56AA-CF75-4D46-9133-AE66DE368857}" name="Quantity" dataDxfId="9"/>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1" totalsRowShown="0" headerRowDxfId="0" headerRowCellStyle="Normal 9">
  <autoFilter ref="A1:J61" xr:uid="{A5DC87FD-A8D1-440B-BAC9-DE34E48E5936}"/>
  <sortState xmlns:xlrd2="http://schemas.microsoft.com/office/spreadsheetml/2017/richdata2" ref="A2:J61">
    <sortCondition ref="I1:I61"/>
  </sortState>
  <tableColumns count="10">
    <tableColumn id="1" xr3:uid="{E8701318-3AEB-41C8-947D-8F382111F831}" name="Site" dataCellStyle="Normal 10"/>
    <tableColumn id="2" xr3:uid="{A8F9A49C-2A9D-43FA-9513-36E70E2B2700}" name="ProductID" dataCellStyle="Normal 10"/>
    <tableColumn id="3" xr3:uid="{DD7691E1-3B82-419A-A596-FD7160832936}" name="Product Description" dataDxfId="37">
      <calculatedColumnFormula>_xlfn.XLOOKUP(Inventory[[#This Row],[ProductID]],Products[ProductID],Products[Product Name],"Not Found")</calculatedColumnFormula>
    </tableColumn>
    <tableColumn id="4" xr3:uid="{3B6081B7-6D7B-40BA-B050-3F97A1DD80EA}" name="Supplier" dataDxfId="36">
      <calculatedColumnFormula>_xlfn.XLOOKUP(Inventory[[#This Row],[ProductID]],Products[ProductID],Products[Supplier],"Not Found")</calculatedColumnFormula>
    </tableColumn>
    <tableColumn id="5" xr3:uid="{8BF557DE-8E2B-4AE9-8A66-D281C045EF9F}" name="Cost/Unit" dataDxfId="35">
      <calculatedColumnFormula>_xlfn.XLOOKUP(Inventory[[#This Row],[ProductID]],Products[ProductID],Products[Cost/Unit],"Not Found")</calculatedColumnFormula>
    </tableColumn>
    <tableColumn id="6" xr3:uid="{82A09554-3010-4D9D-867D-4111E1CD453F}" name="Reorder Level" dataDxfId="34">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dataDxfId="33">
      <calculatedColumnFormula>Inventory[[#This Row],[Cost/Unit]]*Inventory[[#This Row],[QuantityOnHand]]</calculatedColumnFormula>
    </tableColumn>
    <tableColumn id="9" xr3:uid="{1AD33891-BE48-4965-8EAA-F8F9DE5AFD47}" name="Reorder" dataDxfId="32">
      <calculatedColumnFormula>IF(Inventory[[#This Row],[QuantityOnHand]]&lt;=Inventory[[#This Row],[Reorder Level]],"Yes","No")</calculatedColumnFormula>
    </tableColumn>
    <tableColumn id="10" xr3:uid="{02298217-ED20-499A-84FA-6F2061FCCDF1}" name="Order Date"/>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69" t="s">
        <v>0</v>
      </c>
      <c r="D2" s="70"/>
      <c r="E2" s="71"/>
      <c r="F2" s="70"/>
      <c r="G2" s="72"/>
      <c r="H2" s="69"/>
      <c r="I2" s="73"/>
      <c r="J2" s="73"/>
      <c r="K2" s="69"/>
      <c r="L2" s="73"/>
      <c r="M2" s="73"/>
      <c r="N2" s="69"/>
      <c r="O2" s="73"/>
      <c r="P2" s="73"/>
      <c r="Q2" s="73"/>
    </row>
    <row r="3" spans="3:17" s="2" customFormat="1" ht="24" customHeight="1" x14ac:dyDescent="0.65">
      <c r="C3" s="8"/>
      <c r="D3" s="9"/>
      <c r="E3" s="8"/>
      <c r="F3" s="9"/>
      <c r="G3" s="10"/>
      <c r="H3" s="11" t="s">
        <v>1</v>
      </c>
      <c r="I3" s="12"/>
      <c r="J3" s="12"/>
      <c r="K3" s="74" t="s">
        <v>2</v>
      </c>
      <c r="L3" s="75"/>
      <c r="M3" s="75"/>
      <c r="N3" s="74" t="s">
        <v>3</v>
      </c>
      <c r="O3" s="75"/>
      <c r="P3" s="75"/>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election sqref="A1:XFD1"/>
    </sheetView>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61"/>
  <sheetViews>
    <sheetView workbookViewId="0">
      <selection sqref="A1:XFD1"/>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s="58" customFormat="1" ht="15.75" x14ac:dyDescent="0.5">
      <c r="A1" s="58" t="s">
        <v>238</v>
      </c>
      <c r="B1" s="58" t="s">
        <v>239</v>
      </c>
      <c r="C1" s="58" t="s">
        <v>60</v>
      </c>
      <c r="D1" s="82" t="s">
        <v>85</v>
      </c>
      <c r="E1" s="82" t="s">
        <v>240</v>
      </c>
      <c r="F1" s="58"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sheetData>
  <phoneticPr fontId="10" type="noConversion"/>
  <dataValidations count="1">
    <dataValidation type="list" allowBlank="1" showInputMessage="1" showErrorMessage="1" sqref="C2:C61"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1"/>
  <sheetViews>
    <sheetView tabSelected="1" workbookViewId="0">
      <selection activeCell="E22" sqref="E22"/>
    </sheetView>
  </sheetViews>
  <sheetFormatPr defaultRowHeight="14.25" x14ac:dyDescent="0.45"/>
  <cols>
    <col min="1" max="1" width="10.59765625" customWidth="1"/>
    <col min="2" max="2" width="10.9296875" customWidth="1"/>
    <col min="3" max="6" width="30.19921875" bestFit="1" customWidth="1"/>
    <col min="7" max="7" width="16.6640625" customWidth="1"/>
    <col min="8" max="8" width="12.3984375" customWidth="1"/>
    <col min="9" max="9" width="11.796875" customWidth="1"/>
    <col min="10" max="10" width="11.86328125" customWidth="1"/>
  </cols>
  <sheetData>
    <row r="1" spans="1:10" s="58" customFormat="1" ht="15.75" x14ac:dyDescent="0.5">
      <c r="A1" s="83" t="s">
        <v>85</v>
      </c>
      <c r="B1" s="83" t="s">
        <v>60</v>
      </c>
      <c r="C1" s="84" t="s">
        <v>92</v>
      </c>
      <c r="D1" s="84" t="s">
        <v>93</v>
      </c>
      <c r="E1" s="83" t="s">
        <v>86</v>
      </c>
      <c r="F1" s="83" t="s">
        <v>87</v>
      </c>
      <c r="G1" s="83" t="s">
        <v>88</v>
      </c>
      <c r="H1" s="83" t="s">
        <v>89</v>
      </c>
      <c r="I1" s="83" t="s">
        <v>90</v>
      </c>
      <c r="J1" s="83" t="s">
        <v>91</v>
      </c>
    </row>
    <row r="2" spans="1:10" x14ac:dyDescent="0.45">
      <c r="A2" s="68" t="s">
        <v>62</v>
      </c>
      <c r="B2" s="68"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6">
        <v>46275</v>
      </c>
    </row>
    <row r="3" spans="1:10" x14ac:dyDescent="0.45">
      <c r="A3" s="68" t="s">
        <v>65</v>
      </c>
      <c r="B3" s="68"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6">
        <v>46276</v>
      </c>
    </row>
    <row r="4" spans="1:10" x14ac:dyDescent="0.45">
      <c r="A4" s="68" t="s">
        <v>62</v>
      </c>
      <c r="B4" s="68"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6">
        <v>46277</v>
      </c>
    </row>
    <row r="5" spans="1:10" x14ac:dyDescent="0.45">
      <c r="A5" s="68" t="s">
        <v>62</v>
      </c>
      <c r="B5" s="68"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35</v>
      </c>
      <c r="H5">
        <f>Inventory[[#This Row],[Cost/Unit]]*Inventory[[#This Row],[QuantityOnHand]]</f>
        <v>4375</v>
      </c>
      <c r="I5" t="str">
        <f>IF(Inventory[[#This Row],[QuantityOnHand]]&lt;=Inventory[[#This Row],[Reorder Level]],"Yes","No")</f>
        <v>No</v>
      </c>
      <c r="J5" s="76">
        <v>46278</v>
      </c>
    </row>
    <row r="6" spans="1:10" x14ac:dyDescent="0.45">
      <c r="A6" s="68" t="s">
        <v>64</v>
      </c>
      <c r="B6" s="68"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6">
        <v>46279</v>
      </c>
    </row>
    <row r="7" spans="1:10" x14ac:dyDescent="0.45">
      <c r="A7" s="68" t="s">
        <v>65</v>
      </c>
      <c r="B7" s="68"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6">
        <v>46280</v>
      </c>
    </row>
    <row r="8" spans="1:10" x14ac:dyDescent="0.45">
      <c r="A8" s="68" t="s">
        <v>62</v>
      </c>
      <c r="B8" s="68"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6">
        <v>46281</v>
      </c>
    </row>
    <row r="9" spans="1:10" x14ac:dyDescent="0.45">
      <c r="A9" s="68" t="s">
        <v>64</v>
      </c>
      <c r="B9" s="68"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50</v>
      </c>
      <c r="H9">
        <f>Inventory[[#This Row],[Cost/Unit]]*Inventory[[#This Row],[QuantityOnHand]]</f>
        <v>7250</v>
      </c>
      <c r="I9" t="str">
        <f>IF(Inventory[[#This Row],[QuantityOnHand]]&lt;=Inventory[[#This Row],[Reorder Level]],"Yes","No")</f>
        <v>No</v>
      </c>
      <c r="J9" s="76">
        <v>46282</v>
      </c>
    </row>
    <row r="10" spans="1:10" x14ac:dyDescent="0.45">
      <c r="A10" s="68" t="s">
        <v>65</v>
      </c>
      <c r="B10" s="68"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6">
        <v>46283</v>
      </c>
    </row>
    <row r="11" spans="1:10" x14ac:dyDescent="0.45">
      <c r="A11" s="68" t="s">
        <v>62</v>
      </c>
      <c r="B11" s="68"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6">
        <v>46284</v>
      </c>
    </row>
    <row r="12" spans="1:10" x14ac:dyDescent="0.45">
      <c r="A12" s="68" t="s">
        <v>64</v>
      </c>
      <c r="B12" s="68"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6">
        <v>46285</v>
      </c>
    </row>
    <row r="13" spans="1:10" x14ac:dyDescent="0.45">
      <c r="A13" s="68" t="s">
        <v>65</v>
      </c>
      <c r="B13" s="68"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6">
        <v>46286</v>
      </c>
    </row>
    <row r="14" spans="1:10" x14ac:dyDescent="0.45">
      <c r="A14" s="68" t="s">
        <v>62</v>
      </c>
      <c r="B14" s="68"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0</v>
      </c>
      <c r="H14">
        <f>Inventory[[#This Row],[Cost/Unit]]*Inventory[[#This Row],[QuantityOnHand]]</f>
        <v>0</v>
      </c>
      <c r="I14" t="str">
        <f>IF(Inventory[[#This Row],[QuantityOnHand]]&lt;=Inventory[[#This Row],[Reorder Level]],"Yes","No")</f>
        <v>Yes</v>
      </c>
      <c r="J14" s="76">
        <v>46287</v>
      </c>
    </row>
    <row r="15" spans="1:10" x14ac:dyDescent="0.45">
      <c r="A15" s="68" t="s">
        <v>64</v>
      </c>
      <c r="B15" s="68"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6">
        <v>46288</v>
      </c>
    </row>
    <row r="16" spans="1:10" x14ac:dyDescent="0.45">
      <c r="A16" s="68" t="s">
        <v>65</v>
      </c>
      <c r="B16" s="68"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6">
        <v>46289</v>
      </c>
    </row>
    <row r="17" spans="1:10" x14ac:dyDescent="0.45">
      <c r="A17" s="68" t="s">
        <v>62</v>
      </c>
      <c r="B17" s="68"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6">
        <v>46290</v>
      </c>
    </row>
    <row r="18" spans="1:10" x14ac:dyDescent="0.45">
      <c r="A18" s="68" t="s">
        <v>64</v>
      </c>
      <c r="B18" s="68"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6">
        <v>46291</v>
      </c>
    </row>
    <row r="19" spans="1:10" x14ac:dyDescent="0.45">
      <c r="A19" s="68" t="s">
        <v>62</v>
      </c>
      <c r="B19" s="68"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6">
        <v>46292</v>
      </c>
    </row>
    <row r="20" spans="1:10" x14ac:dyDescent="0.45">
      <c r="A20" s="68" t="s">
        <v>64</v>
      </c>
      <c r="B20" s="68"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6">
        <v>46293</v>
      </c>
    </row>
    <row r="21" spans="1:10" x14ac:dyDescent="0.45">
      <c r="A21" s="68" t="s">
        <v>65</v>
      </c>
      <c r="B21" s="68"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6">
        <v>46294</v>
      </c>
    </row>
    <row r="22" spans="1:10" x14ac:dyDescent="0.45">
      <c r="A22" s="68" t="s">
        <v>62</v>
      </c>
      <c r="B22" s="68"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0</v>
      </c>
      <c r="H22">
        <f>Inventory[[#This Row],[Cost/Unit]]*Inventory[[#This Row],[QuantityOnHand]]</f>
        <v>0</v>
      </c>
      <c r="I22" t="str">
        <f>IF(Inventory[[#This Row],[QuantityOnHand]]&lt;=Inventory[[#This Row],[Reorder Level]],"Yes","No")</f>
        <v>Yes</v>
      </c>
      <c r="J22" s="76">
        <v>46295</v>
      </c>
    </row>
    <row r="23" spans="1:10" x14ac:dyDescent="0.45">
      <c r="A23" s="68" t="s">
        <v>64</v>
      </c>
      <c r="B23" s="68"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6">
        <v>46296</v>
      </c>
    </row>
    <row r="24" spans="1:10" x14ac:dyDescent="0.45">
      <c r="A24" s="68" t="s">
        <v>65</v>
      </c>
      <c r="B24" s="68"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6">
        <v>46297</v>
      </c>
    </row>
    <row r="25" spans="1:10" x14ac:dyDescent="0.45">
      <c r="A25" s="68" t="s">
        <v>62</v>
      </c>
      <c r="B25" s="68"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6">
        <v>46298</v>
      </c>
    </row>
    <row r="26" spans="1:10" x14ac:dyDescent="0.45">
      <c r="A26" s="68" t="s">
        <v>64</v>
      </c>
      <c r="B26" s="68"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6">
        <v>46299</v>
      </c>
    </row>
    <row r="27" spans="1:10" x14ac:dyDescent="0.45">
      <c r="A27" s="68" t="s">
        <v>65</v>
      </c>
      <c r="B27" s="68"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14</v>
      </c>
      <c r="H27">
        <f>Inventory[[#This Row],[Cost/Unit]]*Inventory[[#This Row],[QuantityOnHand]]</f>
        <v>252</v>
      </c>
      <c r="I27" t="str">
        <f>IF(Inventory[[#This Row],[QuantityOnHand]]&lt;=Inventory[[#This Row],[Reorder Level]],"Yes","No")</f>
        <v>Yes</v>
      </c>
      <c r="J27" s="76">
        <v>46300</v>
      </c>
    </row>
    <row r="28" spans="1:10" x14ac:dyDescent="0.45">
      <c r="A28" s="68" t="s">
        <v>64</v>
      </c>
      <c r="B28" s="68"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6">
        <v>46301</v>
      </c>
    </row>
    <row r="29" spans="1:10" x14ac:dyDescent="0.45">
      <c r="A29" s="68" t="s">
        <v>65</v>
      </c>
      <c r="B29" s="68"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6">
        <v>46302</v>
      </c>
    </row>
    <row r="30" spans="1:10" x14ac:dyDescent="0.45">
      <c r="A30" s="68" t="s">
        <v>62</v>
      </c>
      <c r="B30" s="68"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6">
        <v>46303</v>
      </c>
    </row>
    <row r="31" spans="1:10" x14ac:dyDescent="0.45">
      <c r="A31" s="68" t="s">
        <v>64</v>
      </c>
      <c r="B31" s="68"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6">
        <v>46304</v>
      </c>
    </row>
    <row r="32" spans="1:10" x14ac:dyDescent="0.45">
      <c r="A32" s="68" t="s">
        <v>65</v>
      </c>
      <c r="B32" s="68"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6">
        <v>46305</v>
      </c>
    </row>
    <row r="33" spans="1:10" x14ac:dyDescent="0.45">
      <c r="A33" s="68" t="s">
        <v>62</v>
      </c>
      <c r="B33" s="68"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6">
        <v>46306</v>
      </c>
    </row>
    <row r="34" spans="1:10" x14ac:dyDescent="0.45">
      <c r="A34" s="68" t="s">
        <v>64</v>
      </c>
      <c r="B34" s="68"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6">
        <v>46307</v>
      </c>
    </row>
    <row r="35" spans="1:10" x14ac:dyDescent="0.45">
      <c r="A35" s="68" t="s">
        <v>65</v>
      </c>
      <c r="B35" s="68"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6">
        <v>46308</v>
      </c>
    </row>
    <row r="36" spans="1:10" x14ac:dyDescent="0.45">
      <c r="A36" s="68" t="s">
        <v>64</v>
      </c>
      <c r="B36" s="68"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0</v>
      </c>
      <c r="H36">
        <f>Inventory[[#This Row],[Cost/Unit]]*Inventory[[#This Row],[QuantityOnHand]]</f>
        <v>0</v>
      </c>
      <c r="I36" t="str">
        <f>IF(Inventory[[#This Row],[QuantityOnHand]]&lt;=Inventory[[#This Row],[Reorder Level]],"Yes","No")</f>
        <v>Yes</v>
      </c>
      <c r="J36" s="76">
        <v>46309</v>
      </c>
    </row>
    <row r="37" spans="1:10" x14ac:dyDescent="0.45">
      <c r="A37" s="68" t="s">
        <v>65</v>
      </c>
      <c r="B37" s="68"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6">
        <v>46310</v>
      </c>
    </row>
    <row r="38" spans="1:10" x14ac:dyDescent="0.45">
      <c r="A38" s="68" t="s">
        <v>62</v>
      </c>
      <c r="B38" s="68"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0</v>
      </c>
      <c r="H38">
        <f>Inventory[[#This Row],[Cost/Unit]]*Inventory[[#This Row],[QuantityOnHand]]</f>
        <v>0</v>
      </c>
      <c r="I38" t="str">
        <f>IF(Inventory[[#This Row],[QuantityOnHand]]&lt;=Inventory[[#This Row],[Reorder Level]],"Yes","No")</f>
        <v>Yes</v>
      </c>
      <c r="J38" s="76">
        <v>46311</v>
      </c>
    </row>
    <row r="39" spans="1:10" x14ac:dyDescent="0.45">
      <c r="A39" s="68" t="s">
        <v>65</v>
      </c>
      <c r="B39" s="68"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6">
        <v>46312</v>
      </c>
    </row>
    <row r="40" spans="1:10" x14ac:dyDescent="0.45">
      <c r="A40" s="68" t="s">
        <v>62</v>
      </c>
      <c r="B40" s="68"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6">
        <v>46313</v>
      </c>
    </row>
    <row r="41" spans="1:10" x14ac:dyDescent="0.45">
      <c r="A41" s="68" t="s">
        <v>64</v>
      </c>
      <c r="B41" s="68"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6">
        <v>46314</v>
      </c>
    </row>
    <row r="42" spans="1:10" x14ac:dyDescent="0.45">
      <c r="A42" s="68" t="s">
        <v>64</v>
      </c>
      <c r="B42" s="68"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0</v>
      </c>
      <c r="H42">
        <f>Inventory[[#This Row],[Cost/Unit]]*Inventory[[#This Row],[QuantityOnHand]]</f>
        <v>0</v>
      </c>
      <c r="I42" t="str">
        <f>IF(Inventory[[#This Row],[QuantityOnHand]]&lt;=Inventory[[#This Row],[Reorder Level]],"Yes","No")</f>
        <v>Yes</v>
      </c>
      <c r="J42" s="76">
        <v>46315</v>
      </c>
    </row>
    <row r="43" spans="1:10" x14ac:dyDescent="0.45">
      <c r="A43" s="68" t="s">
        <v>65</v>
      </c>
      <c r="B43" s="68"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0</v>
      </c>
      <c r="H43">
        <f>Inventory[[#This Row],[Cost/Unit]]*Inventory[[#This Row],[QuantityOnHand]]</f>
        <v>0</v>
      </c>
      <c r="I43" t="str">
        <f>IF(Inventory[[#This Row],[QuantityOnHand]]&lt;=Inventory[[#This Row],[Reorder Level]],"Yes","No")</f>
        <v>Yes</v>
      </c>
      <c r="J43" s="76">
        <v>46316</v>
      </c>
    </row>
    <row r="44" spans="1:10" x14ac:dyDescent="0.45">
      <c r="A44" s="68" t="s">
        <v>62</v>
      </c>
      <c r="B44" s="68"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6">
        <v>46317</v>
      </c>
    </row>
    <row r="45" spans="1:10" x14ac:dyDescent="0.45">
      <c r="A45" s="68" t="s">
        <v>65</v>
      </c>
      <c r="B45" s="68"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6">
        <v>46318</v>
      </c>
    </row>
    <row r="46" spans="1:10" x14ac:dyDescent="0.45">
      <c r="A46" s="68" t="s">
        <v>62</v>
      </c>
      <c r="B46" s="68"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6">
        <v>46319</v>
      </c>
    </row>
    <row r="47" spans="1:10" x14ac:dyDescent="0.45">
      <c r="A47" s="68" t="s">
        <v>64</v>
      </c>
      <c r="B47" s="68"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6">
        <v>46320</v>
      </c>
    </row>
    <row r="48" spans="1:10" x14ac:dyDescent="0.45">
      <c r="A48" s="68" t="s">
        <v>64</v>
      </c>
      <c r="B48" s="68"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6">
        <v>46321</v>
      </c>
    </row>
    <row r="49" spans="1:10" x14ac:dyDescent="0.45">
      <c r="A49" s="68" t="s">
        <v>65</v>
      </c>
      <c r="B49" s="68"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6">
        <v>46322</v>
      </c>
    </row>
    <row r="50" spans="1:10" x14ac:dyDescent="0.45">
      <c r="A50" s="68" t="s">
        <v>62</v>
      </c>
      <c r="B50" s="68"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6">
        <v>46323</v>
      </c>
    </row>
    <row r="51" spans="1:10" x14ac:dyDescent="0.45">
      <c r="A51" s="68" t="s">
        <v>64</v>
      </c>
      <c r="B51" s="68"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6">
        <v>46324</v>
      </c>
    </row>
    <row r="52" spans="1:10" x14ac:dyDescent="0.45">
      <c r="A52" s="68" t="s">
        <v>65</v>
      </c>
      <c r="B52" s="68"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6">
        <v>46325</v>
      </c>
    </row>
    <row r="53" spans="1:10" x14ac:dyDescent="0.45">
      <c r="A53" s="68" t="s">
        <v>62</v>
      </c>
      <c r="B53" s="68"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6">
        <v>46326</v>
      </c>
    </row>
    <row r="54" spans="1:10" x14ac:dyDescent="0.45">
      <c r="A54" s="68" t="s">
        <v>64</v>
      </c>
      <c r="B54" s="68"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6">
        <v>46327</v>
      </c>
    </row>
    <row r="55" spans="1:10" x14ac:dyDescent="0.45">
      <c r="A55" s="68" t="s">
        <v>65</v>
      </c>
      <c r="B55" s="68"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6">
        <v>46328</v>
      </c>
    </row>
    <row r="56" spans="1:10" x14ac:dyDescent="0.45">
      <c r="A56" s="68" t="s">
        <v>62</v>
      </c>
      <c r="B56" s="68"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6">
        <v>46329</v>
      </c>
    </row>
    <row r="57" spans="1:10" x14ac:dyDescent="0.45">
      <c r="A57" s="68" t="s">
        <v>64</v>
      </c>
      <c r="B57" s="68"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6">
        <v>46330</v>
      </c>
    </row>
    <row r="58" spans="1:10" x14ac:dyDescent="0.45">
      <c r="A58" s="68" t="s">
        <v>65</v>
      </c>
      <c r="B58" s="68"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0</v>
      </c>
      <c r="H58">
        <f>Inventory[[#This Row],[Cost/Unit]]*Inventory[[#This Row],[QuantityOnHand]]</f>
        <v>0</v>
      </c>
      <c r="I58" t="str">
        <f>IF(Inventory[[#This Row],[QuantityOnHand]]&lt;=Inventory[[#This Row],[Reorder Level]],"Yes","No")</f>
        <v>Yes</v>
      </c>
      <c r="J58" s="76">
        <v>46331</v>
      </c>
    </row>
    <row r="59" spans="1:10" x14ac:dyDescent="0.45">
      <c r="A59" s="68" t="s">
        <v>62</v>
      </c>
      <c r="B59" s="68"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6">
        <v>46332</v>
      </c>
    </row>
    <row r="60" spans="1:10" x14ac:dyDescent="0.45">
      <c r="A60" s="68" t="s">
        <v>64</v>
      </c>
      <c r="B60" s="68"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6">
        <v>46333</v>
      </c>
    </row>
    <row r="61" spans="1:10" x14ac:dyDescent="0.45">
      <c r="A61" s="68" t="s">
        <v>65</v>
      </c>
      <c r="B61" s="68"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0</v>
      </c>
      <c r="H61">
        <f>Inventory[[#This Row],[Cost/Unit]]*Inventory[[#This Row],[QuantityOnHand]]</f>
        <v>0</v>
      </c>
      <c r="I61" t="str">
        <f>IF(Inventory[[#This Row],[QuantityOnHand]]&lt;=Inventory[[#This Row],[Reorder Level]],"Yes","No")</f>
        <v>Yes</v>
      </c>
      <c r="J61" s="76">
        <v>46334</v>
      </c>
    </row>
  </sheetData>
  <conditionalFormatting sqref="I1:I1048576">
    <cfRule type="containsText" dxfId="5" priority="4" operator="containsText" text="Yes">
      <formula>NOT(ISERROR(SEARCH("Yes",I1)))</formula>
    </cfRule>
    <cfRule type="containsText" dxfId="4" priority="3" operator="containsText" text="No">
      <formula>NOT(ISERROR(SEARCH("No",I1)))</formula>
    </cfRule>
  </conditionalFormatting>
  <conditionalFormatting sqref="H1:H1048576">
    <cfRule type="dataBar" priority="2">
      <dataBar>
        <cfvo type="min"/>
        <cfvo type="max"/>
        <color rgb="FFFFB628"/>
      </dataBar>
      <extLst>
        <ext xmlns:x14="http://schemas.microsoft.com/office/spreadsheetml/2009/9/main" uri="{B025F937-C7B1-47D3-B67F-A62EFF666E3E}">
          <x14:id>{DA699FD3-20CD-4065-9BA7-E2DA1B7037F2}</x14:id>
        </ext>
      </extLst>
    </cfRule>
    <cfRule type="iconSet" priority="1">
      <iconSet iconSet="3Arrows">
        <cfvo type="percent" val="0"/>
        <cfvo type="percent" val="33"/>
        <cfvo type="percent" val="67"/>
      </iconSe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dimension ref="A1:E96"/>
  <sheetViews>
    <sheetView workbookViewId="0">
      <selection activeCell="H26" sqref="H26"/>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7" t="s">
        <v>90</v>
      </c>
      <c r="B1" t="s">
        <v>319</v>
      </c>
    </row>
    <row r="2" spans="1:5" x14ac:dyDescent="0.45">
      <c r="A2" s="77" t="s">
        <v>91</v>
      </c>
      <c r="B2" t="s">
        <v>304</v>
      </c>
    </row>
    <row r="4" spans="1:5" x14ac:dyDescent="0.45">
      <c r="A4" s="77" t="s">
        <v>308</v>
      </c>
      <c r="B4" s="77" t="s">
        <v>307</v>
      </c>
    </row>
    <row r="5" spans="1:5" x14ac:dyDescent="0.45">
      <c r="A5" s="77" t="s">
        <v>305</v>
      </c>
      <c r="B5" t="s">
        <v>62</v>
      </c>
      <c r="C5" t="s">
        <v>64</v>
      </c>
      <c r="D5" t="s">
        <v>65</v>
      </c>
      <c r="E5" t="s">
        <v>306</v>
      </c>
    </row>
    <row r="6" spans="1:5" x14ac:dyDescent="0.45">
      <c r="A6" s="78" t="s">
        <v>128</v>
      </c>
      <c r="B6" s="79"/>
      <c r="C6" s="79"/>
      <c r="D6" s="79"/>
      <c r="E6" s="79"/>
    </row>
    <row r="7" spans="1:5" x14ac:dyDescent="0.45">
      <c r="A7" s="80" t="s">
        <v>83</v>
      </c>
      <c r="B7" s="79"/>
      <c r="C7" s="79"/>
      <c r="D7" s="79"/>
      <c r="E7" s="79"/>
    </row>
    <row r="8" spans="1:5" x14ac:dyDescent="0.45">
      <c r="A8" s="81" t="s">
        <v>127</v>
      </c>
      <c r="B8" s="79">
        <v>100</v>
      </c>
      <c r="C8" s="79">
        <v>100</v>
      </c>
      <c r="D8" s="79">
        <v>100</v>
      </c>
      <c r="E8" s="79">
        <v>300</v>
      </c>
    </row>
    <row r="9" spans="1:5" x14ac:dyDescent="0.45">
      <c r="A9" s="80"/>
      <c r="B9" s="79"/>
      <c r="C9" s="79"/>
      <c r="D9" s="79"/>
      <c r="E9" s="79"/>
    </row>
    <row r="10" spans="1:5" x14ac:dyDescent="0.45">
      <c r="A10" s="78" t="s">
        <v>309</v>
      </c>
      <c r="B10" s="79">
        <v>100</v>
      </c>
      <c r="C10" s="79">
        <v>100</v>
      </c>
      <c r="D10" s="79">
        <v>100</v>
      </c>
      <c r="E10" s="79">
        <v>300</v>
      </c>
    </row>
    <row r="11" spans="1:5" x14ac:dyDescent="0.45">
      <c r="A11" s="78"/>
      <c r="B11" s="79"/>
      <c r="C11" s="79"/>
      <c r="D11" s="79"/>
      <c r="E11" s="79"/>
    </row>
    <row r="12" spans="1:5" x14ac:dyDescent="0.45">
      <c r="A12" s="78" t="s">
        <v>101</v>
      </c>
      <c r="B12" s="79"/>
      <c r="C12" s="79"/>
      <c r="D12" s="79"/>
      <c r="E12" s="79"/>
    </row>
    <row r="13" spans="1:5" x14ac:dyDescent="0.45">
      <c r="A13" s="80" t="s">
        <v>67</v>
      </c>
      <c r="B13" s="79"/>
      <c r="C13" s="79"/>
      <c r="D13" s="79"/>
      <c r="E13" s="79"/>
    </row>
    <row r="14" spans="1:5" x14ac:dyDescent="0.45">
      <c r="A14" s="81" t="s">
        <v>100</v>
      </c>
      <c r="B14" s="79">
        <v>15</v>
      </c>
      <c r="C14" s="79">
        <v>15</v>
      </c>
      <c r="D14" s="79"/>
      <c r="E14" s="79">
        <v>30</v>
      </c>
    </row>
    <row r="15" spans="1:5" x14ac:dyDescent="0.45">
      <c r="A15" s="80"/>
      <c r="B15" s="79"/>
      <c r="C15" s="79"/>
      <c r="D15" s="79"/>
      <c r="E15" s="79"/>
    </row>
    <row r="16" spans="1:5" x14ac:dyDescent="0.45">
      <c r="A16" s="80" t="s">
        <v>70</v>
      </c>
      <c r="B16" s="79"/>
      <c r="C16" s="79"/>
      <c r="D16" s="79"/>
      <c r="E16" s="79"/>
    </row>
    <row r="17" spans="1:5" x14ac:dyDescent="0.45">
      <c r="A17" s="81" t="s">
        <v>105</v>
      </c>
      <c r="B17" s="79">
        <v>20</v>
      </c>
      <c r="C17" s="79">
        <v>20</v>
      </c>
      <c r="D17" s="79">
        <v>20</v>
      </c>
      <c r="E17" s="79">
        <v>60</v>
      </c>
    </row>
    <row r="18" spans="1:5" x14ac:dyDescent="0.45">
      <c r="A18" s="80"/>
      <c r="B18" s="79"/>
      <c r="C18" s="79"/>
      <c r="D18" s="79"/>
      <c r="E18" s="79"/>
    </row>
    <row r="19" spans="1:5" x14ac:dyDescent="0.45">
      <c r="A19" s="78" t="s">
        <v>310</v>
      </c>
      <c r="B19" s="79">
        <v>35</v>
      </c>
      <c r="C19" s="79">
        <v>35</v>
      </c>
      <c r="D19" s="79">
        <v>20</v>
      </c>
      <c r="E19" s="79">
        <v>90</v>
      </c>
    </row>
    <row r="20" spans="1:5" x14ac:dyDescent="0.45">
      <c r="A20" s="78"/>
      <c r="B20" s="79"/>
      <c r="C20" s="79"/>
      <c r="D20" s="79"/>
      <c r="E20" s="79"/>
    </row>
    <row r="21" spans="1:5" x14ac:dyDescent="0.45">
      <c r="A21" s="78" t="s">
        <v>110</v>
      </c>
      <c r="B21" s="79"/>
      <c r="C21" s="79"/>
      <c r="D21" s="79"/>
      <c r="E21" s="79"/>
    </row>
    <row r="22" spans="1:5" x14ac:dyDescent="0.45">
      <c r="A22" s="80" t="s">
        <v>73</v>
      </c>
      <c r="B22" s="79"/>
      <c r="C22" s="79"/>
      <c r="D22" s="79"/>
      <c r="E22" s="79"/>
    </row>
    <row r="23" spans="1:5" x14ac:dyDescent="0.45">
      <c r="A23" s="81" t="s">
        <v>108</v>
      </c>
      <c r="B23" s="79">
        <v>25</v>
      </c>
      <c r="C23" s="79">
        <v>25</v>
      </c>
      <c r="D23" s="79">
        <v>25</v>
      </c>
      <c r="E23" s="79">
        <v>75</v>
      </c>
    </row>
    <row r="24" spans="1:5" x14ac:dyDescent="0.45">
      <c r="A24" s="80"/>
      <c r="B24" s="79"/>
      <c r="C24" s="79"/>
      <c r="D24" s="79"/>
      <c r="E24" s="79"/>
    </row>
    <row r="25" spans="1:5" x14ac:dyDescent="0.45">
      <c r="A25" s="80" t="s">
        <v>76</v>
      </c>
      <c r="B25" s="79"/>
      <c r="C25" s="79"/>
      <c r="D25" s="79"/>
      <c r="E25" s="79"/>
    </row>
    <row r="26" spans="1:5" x14ac:dyDescent="0.45">
      <c r="A26" s="81" t="s">
        <v>116</v>
      </c>
      <c r="B26" s="79">
        <v>3</v>
      </c>
      <c r="C26" s="79">
        <v>3</v>
      </c>
      <c r="D26" s="79"/>
      <c r="E26" s="79">
        <v>6</v>
      </c>
    </row>
    <row r="27" spans="1:5" x14ac:dyDescent="0.45">
      <c r="A27" s="80"/>
      <c r="B27" s="79"/>
      <c r="C27" s="79"/>
      <c r="D27" s="79"/>
      <c r="E27" s="79"/>
    </row>
    <row r="28" spans="1:5" x14ac:dyDescent="0.45">
      <c r="A28" s="78" t="s">
        <v>311</v>
      </c>
      <c r="B28" s="79">
        <v>28</v>
      </c>
      <c r="C28" s="79">
        <v>28</v>
      </c>
      <c r="D28" s="79">
        <v>25</v>
      </c>
      <c r="E28" s="79">
        <v>81</v>
      </c>
    </row>
    <row r="29" spans="1:5" x14ac:dyDescent="0.45">
      <c r="A29" s="78"/>
      <c r="B29" s="79"/>
      <c r="C29" s="79"/>
      <c r="D29" s="79"/>
      <c r="E29" s="79"/>
    </row>
    <row r="30" spans="1:5" x14ac:dyDescent="0.45">
      <c r="A30" s="78" t="s">
        <v>113</v>
      </c>
      <c r="B30" s="79"/>
      <c r="C30" s="79"/>
      <c r="D30" s="79"/>
      <c r="E30" s="79"/>
    </row>
    <row r="31" spans="1:5" x14ac:dyDescent="0.45">
      <c r="A31" s="80" t="s">
        <v>74</v>
      </c>
      <c r="B31" s="79"/>
      <c r="C31" s="79"/>
      <c r="D31" s="79"/>
      <c r="E31" s="79"/>
    </row>
    <row r="32" spans="1:5" x14ac:dyDescent="0.45">
      <c r="A32" s="81" t="s">
        <v>111</v>
      </c>
      <c r="B32" s="79"/>
      <c r="C32" s="79">
        <v>5</v>
      </c>
      <c r="D32" s="79">
        <v>5</v>
      </c>
      <c r="E32" s="79">
        <v>10</v>
      </c>
    </row>
    <row r="33" spans="1:5" x14ac:dyDescent="0.45">
      <c r="A33" s="80"/>
      <c r="B33" s="79"/>
      <c r="C33" s="79"/>
      <c r="D33" s="79"/>
      <c r="E33" s="79"/>
    </row>
    <row r="34" spans="1:5" x14ac:dyDescent="0.45">
      <c r="A34" s="80" t="s">
        <v>79</v>
      </c>
      <c r="B34" s="79"/>
      <c r="C34" s="79"/>
      <c r="D34" s="79"/>
      <c r="E34" s="79"/>
    </row>
    <row r="35" spans="1:5" x14ac:dyDescent="0.45">
      <c r="A35" s="81" t="s">
        <v>121</v>
      </c>
      <c r="B35" s="79">
        <v>5</v>
      </c>
      <c r="C35" s="79">
        <v>5</v>
      </c>
      <c r="D35" s="79"/>
      <c r="E35" s="79">
        <v>10</v>
      </c>
    </row>
    <row r="36" spans="1:5" x14ac:dyDescent="0.45">
      <c r="A36" s="80"/>
      <c r="B36" s="79"/>
      <c r="C36" s="79"/>
      <c r="D36" s="79"/>
      <c r="E36" s="79"/>
    </row>
    <row r="37" spans="1:5" x14ac:dyDescent="0.45">
      <c r="A37" s="78" t="s">
        <v>312</v>
      </c>
      <c r="B37" s="79">
        <v>5</v>
      </c>
      <c r="C37" s="79">
        <v>10</v>
      </c>
      <c r="D37" s="79">
        <v>5</v>
      </c>
      <c r="E37" s="79">
        <v>20</v>
      </c>
    </row>
    <row r="38" spans="1:5" x14ac:dyDescent="0.45">
      <c r="A38" s="78"/>
      <c r="B38" s="79"/>
      <c r="C38" s="79"/>
      <c r="D38" s="79"/>
      <c r="E38" s="79"/>
    </row>
    <row r="39" spans="1:5" x14ac:dyDescent="0.45">
      <c r="A39" s="78" t="s">
        <v>97</v>
      </c>
      <c r="B39" s="79"/>
      <c r="C39" s="79"/>
      <c r="D39" s="79"/>
      <c r="E39" s="79"/>
    </row>
    <row r="40" spans="1:5" x14ac:dyDescent="0.45">
      <c r="A40" s="80" t="s">
        <v>63</v>
      </c>
      <c r="B40" s="79"/>
      <c r="C40" s="79"/>
      <c r="D40" s="79"/>
      <c r="E40" s="79"/>
    </row>
    <row r="41" spans="1:5" x14ac:dyDescent="0.45">
      <c r="A41" s="81" t="s">
        <v>95</v>
      </c>
      <c r="B41" s="79"/>
      <c r="C41" s="79">
        <v>9</v>
      </c>
      <c r="D41" s="79">
        <v>9</v>
      </c>
      <c r="E41" s="79">
        <v>18</v>
      </c>
    </row>
    <row r="42" spans="1:5" x14ac:dyDescent="0.45">
      <c r="A42" s="80"/>
      <c r="B42" s="79"/>
      <c r="C42" s="79"/>
      <c r="D42" s="79"/>
      <c r="E42" s="79"/>
    </row>
    <row r="43" spans="1:5" x14ac:dyDescent="0.45">
      <c r="A43" s="80" t="s">
        <v>71</v>
      </c>
      <c r="B43" s="79"/>
      <c r="C43" s="79"/>
      <c r="D43" s="79"/>
      <c r="E43" s="79"/>
    </row>
    <row r="44" spans="1:5" x14ac:dyDescent="0.45">
      <c r="A44" s="81" t="s">
        <v>106</v>
      </c>
      <c r="B44" s="79"/>
      <c r="C44" s="79">
        <v>15</v>
      </c>
      <c r="D44" s="79">
        <v>15</v>
      </c>
      <c r="E44" s="79">
        <v>30</v>
      </c>
    </row>
    <row r="45" spans="1:5" x14ac:dyDescent="0.45">
      <c r="A45" s="80"/>
      <c r="B45" s="79"/>
      <c r="C45" s="79"/>
      <c r="D45" s="79"/>
      <c r="E45" s="79"/>
    </row>
    <row r="46" spans="1:5" x14ac:dyDescent="0.45">
      <c r="A46" s="78" t="s">
        <v>313</v>
      </c>
      <c r="B46" s="79"/>
      <c r="C46" s="79">
        <v>24</v>
      </c>
      <c r="D46" s="79">
        <v>24</v>
      </c>
      <c r="E46" s="79">
        <v>48</v>
      </c>
    </row>
    <row r="47" spans="1:5" x14ac:dyDescent="0.45">
      <c r="A47" s="78"/>
      <c r="B47" s="79"/>
      <c r="C47" s="79"/>
      <c r="D47" s="79"/>
      <c r="E47" s="79"/>
    </row>
    <row r="48" spans="1:5" x14ac:dyDescent="0.45">
      <c r="A48" s="78" t="s">
        <v>125</v>
      </c>
      <c r="B48" s="79"/>
      <c r="C48" s="79"/>
      <c r="D48" s="79"/>
      <c r="E48" s="79"/>
    </row>
    <row r="49" spans="1:5" x14ac:dyDescent="0.45">
      <c r="A49" s="80" t="s">
        <v>81</v>
      </c>
      <c r="B49" s="79"/>
      <c r="C49" s="79"/>
      <c r="D49" s="79"/>
      <c r="E49" s="79"/>
    </row>
    <row r="50" spans="1:5" x14ac:dyDescent="0.45">
      <c r="A50" s="81" t="s">
        <v>123</v>
      </c>
      <c r="B50" s="79">
        <v>15</v>
      </c>
      <c r="C50" s="79">
        <v>15</v>
      </c>
      <c r="D50" s="79">
        <v>15</v>
      </c>
      <c r="E50" s="79">
        <v>45</v>
      </c>
    </row>
    <row r="51" spans="1:5" x14ac:dyDescent="0.45">
      <c r="A51" s="80"/>
      <c r="B51" s="79"/>
      <c r="C51" s="79"/>
      <c r="D51" s="79"/>
      <c r="E51" s="79"/>
    </row>
    <row r="52" spans="1:5" x14ac:dyDescent="0.45">
      <c r="A52" s="80" t="s">
        <v>82</v>
      </c>
      <c r="B52" s="79"/>
      <c r="C52" s="79"/>
      <c r="D52" s="79"/>
      <c r="E52" s="79"/>
    </row>
    <row r="53" spans="1:5" x14ac:dyDescent="0.45">
      <c r="A53" s="81" t="s">
        <v>126</v>
      </c>
      <c r="B53" s="79">
        <v>100</v>
      </c>
      <c r="C53" s="79">
        <v>100</v>
      </c>
      <c r="D53" s="79">
        <v>100</v>
      </c>
      <c r="E53" s="79">
        <v>300</v>
      </c>
    </row>
    <row r="54" spans="1:5" x14ac:dyDescent="0.45">
      <c r="A54" s="80"/>
      <c r="B54" s="79"/>
      <c r="C54" s="79"/>
      <c r="D54" s="79"/>
      <c r="E54" s="79"/>
    </row>
    <row r="55" spans="1:5" x14ac:dyDescent="0.45">
      <c r="A55" s="80" t="s">
        <v>84</v>
      </c>
      <c r="B55" s="79"/>
      <c r="C55" s="79"/>
      <c r="D55" s="79"/>
      <c r="E55" s="79"/>
    </row>
    <row r="56" spans="1:5" x14ac:dyDescent="0.45">
      <c r="A56" s="81" t="s">
        <v>129</v>
      </c>
      <c r="B56" s="79">
        <v>75</v>
      </c>
      <c r="C56" s="79">
        <v>75</v>
      </c>
      <c r="D56" s="79">
        <v>75</v>
      </c>
      <c r="E56" s="79">
        <v>225</v>
      </c>
    </row>
    <row r="57" spans="1:5" x14ac:dyDescent="0.45">
      <c r="A57" s="80"/>
      <c r="B57" s="79"/>
      <c r="C57" s="79"/>
      <c r="D57" s="79"/>
      <c r="E57" s="79"/>
    </row>
    <row r="58" spans="1:5" x14ac:dyDescent="0.45">
      <c r="A58" s="78" t="s">
        <v>314</v>
      </c>
      <c r="B58" s="79">
        <v>190</v>
      </c>
      <c r="C58" s="79">
        <v>190</v>
      </c>
      <c r="D58" s="79">
        <v>190</v>
      </c>
      <c r="E58" s="79">
        <v>570</v>
      </c>
    </row>
    <row r="59" spans="1:5" x14ac:dyDescent="0.45">
      <c r="A59" s="78"/>
      <c r="B59" s="79"/>
      <c r="C59" s="79"/>
      <c r="D59" s="79"/>
      <c r="E59" s="79"/>
    </row>
    <row r="60" spans="1:5" x14ac:dyDescent="0.45">
      <c r="A60" s="78" t="s">
        <v>99</v>
      </c>
      <c r="B60" s="79"/>
      <c r="C60" s="79"/>
      <c r="D60" s="79"/>
      <c r="E60" s="79"/>
    </row>
    <row r="61" spans="1:5" x14ac:dyDescent="0.45">
      <c r="A61" s="80" t="s">
        <v>66</v>
      </c>
      <c r="B61" s="79"/>
      <c r="C61" s="79"/>
      <c r="D61" s="79"/>
      <c r="E61" s="79"/>
    </row>
    <row r="62" spans="1:5" x14ac:dyDescent="0.45">
      <c r="A62" s="81" t="s">
        <v>98</v>
      </c>
      <c r="B62" s="79">
        <v>50</v>
      </c>
      <c r="C62" s="79">
        <v>50</v>
      </c>
      <c r="D62" s="79">
        <v>50</v>
      </c>
      <c r="E62" s="79">
        <v>150</v>
      </c>
    </row>
    <row r="63" spans="1:5" x14ac:dyDescent="0.45">
      <c r="A63" s="80"/>
      <c r="B63" s="79"/>
      <c r="C63" s="79"/>
      <c r="D63" s="79"/>
      <c r="E63" s="79"/>
    </row>
    <row r="64" spans="1:5" x14ac:dyDescent="0.45">
      <c r="A64" s="80" t="s">
        <v>69</v>
      </c>
      <c r="B64" s="79"/>
      <c r="C64" s="79"/>
      <c r="D64" s="79"/>
      <c r="E64" s="79"/>
    </row>
    <row r="65" spans="1:5" x14ac:dyDescent="0.45">
      <c r="A65" s="81" t="s">
        <v>104</v>
      </c>
      <c r="B65" s="79">
        <v>30</v>
      </c>
      <c r="C65" s="79">
        <v>30</v>
      </c>
      <c r="D65" s="79">
        <v>30</v>
      </c>
      <c r="E65" s="79">
        <v>90</v>
      </c>
    </row>
    <row r="66" spans="1:5" x14ac:dyDescent="0.45">
      <c r="A66" s="80"/>
      <c r="B66" s="79"/>
      <c r="C66" s="79"/>
      <c r="D66" s="79"/>
      <c r="E66" s="79"/>
    </row>
    <row r="67" spans="1:5" x14ac:dyDescent="0.45">
      <c r="A67" s="78" t="s">
        <v>315</v>
      </c>
      <c r="B67" s="79">
        <v>80</v>
      </c>
      <c r="C67" s="79">
        <v>80</v>
      </c>
      <c r="D67" s="79">
        <v>80</v>
      </c>
      <c r="E67" s="79">
        <v>240</v>
      </c>
    </row>
    <row r="68" spans="1:5" x14ac:dyDescent="0.45">
      <c r="A68" s="78"/>
      <c r="B68" s="79"/>
      <c r="C68" s="79"/>
      <c r="D68" s="79"/>
      <c r="E68" s="79"/>
    </row>
    <row r="69" spans="1:5" x14ac:dyDescent="0.45">
      <c r="A69" s="78" t="s">
        <v>119</v>
      </c>
      <c r="B69" s="79"/>
      <c r="C69" s="79"/>
      <c r="D69" s="79"/>
      <c r="E69" s="79"/>
    </row>
    <row r="70" spans="1:5" x14ac:dyDescent="0.45">
      <c r="A70" s="80" t="s">
        <v>77</v>
      </c>
      <c r="B70" s="79"/>
      <c r="C70" s="79"/>
      <c r="D70" s="79"/>
      <c r="E70" s="79"/>
    </row>
    <row r="71" spans="1:5" x14ac:dyDescent="0.45">
      <c r="A71" s="81" t="s">
        <v>118</v>
      </c>
      <c r="B71" s="79"/>
      <c r="C71" s="79">
        <v>20</v>
      </c>
      <c r="D71" s="79">
        <v>20</v>
      </c>
      <c r="E71" s="79">
        <v>40</v>
      </c>
    </row>
    <row r="72" spans="1:5" x14ac:dyDescent="0.45">
      <c r="A72" s="80"/>
      <c r="B72" s="79"/>
      <c r="C72" s="79"/>
      <c r="D72" s="79"/>
      <c r="E72" s="79"/>
    </row>
    <row r="73" spans="1:5" x14ac:dyDescent="0.45">
      <c r="A73" s="80" t="s">
        <v>80</v>
      </c>
      <c r="B73" s="79"/>
      <c r="C73" s="79"/>
      <c r="D73" s="79"/>
      <c r="E73" s="79"/>
    </row>
    <row r="74" spans="1:5" x14ac:dyDescent="0.45">
      <c r="A74" s="81" t="s">
        <v>122</v>
      </c>
      <c r="B74" s="79"/>
      <c r="C74" s="79">
        <v>8</v>
      </c>
      <c r="D74" s="79">
        <v>8</v>
      </c>
      <c r="E74" s="79">
        <v>16</v>
      </c>
    </row>
    <row r="75" spans="1:5" x14ac:dyDescent="0.45">
      <c r="A75" s="80"/>
      <c r="B75" s="79"/>
      <c r="C75" s="79"/>
      <c r="D75" s="79"/>
      <c r="E75" s="79"/>
    </row>
    <row r="76" spans="1:5" x14ac:dyDescent="0.45">
      <c r="A76" s="78" t="s">
        <v>316</v>
      </c>
      <c r="B76" s="79"/>
      <c r="C76" s="79">
        <v>28</v>
      </c>
      <c r="D76" s="79">
        <v>28</v>
      </c>
      <c r="E76" s="79">
        <v>56</v>
      </c>
    </row>
    <row r="77" spans="1:5" x14ac:dyDescent="0.45">
      <c r="A77" s="78"/>
      <c r="B77" s="79"/>
      <c r="C77" s="79"/>
      <c r="D77" s="79"/>
      <c r="E77" s="79"/>
    </row>
    <row r="78" spans="1:5" x14ac:dyDescent="0.45">
      <c r="A78" s="78" t="s">
        <v>115</v>
      </c>
      <c r="B78" s="79"/>
      <c r="C78" s="79"/>
      <c r="D78" s="79"/>
      <c r="E78" s="79"/>
    </row>
    <row r="79" spans="1:5" x14ac:dyDescent="0.45">
      <c r="A79" s="80" t="s">
        <v>75</v>
      </c>
      <c r="B79" s="79"/>
      <c r="C79" s="79"/>
      <c r="D79" s="79"/>
      <c r="E79" s="79"/>
    </row>
    <row r="80" spans="1:5" x14ac:dyDescent="0.45">
      <c r="A80" s="81" t="s">
        <v>114</v>
      </c>
      <c r="B80" s="79">
        <v>8</v>
      </c>
      <c r="C80" s="79"/>
      <c r="D80" s="79">
        <v>8</v>
      </c>
      <c r="E80" s="79">
        <v>16</v>
      </c>
    </row>
    <row r="81" spans="1:5" x14ac:dyDescent="0.45">
      <c r="A81" s="80"/>
      <c r="B81" s="79"/>
      <c r="C81" s="79"/>
      <c r="D81" s="79"/>
      <c r="E81" s="79"/>
    </row>
    <row r="82" spans="1:5" x14ac:dyDescent="0.45">
      <c r="A82" s="80" t="s">
        <v>78</v>
      </c>
      <c r="B82" s="79"/>
      <c r="C82" s="79"/>
      <c r="D82" s="79"/>
      <c r="E82" s="79"/>
    </row>
    <row r="83" spans="1:5" x14ac:dyDescent="0.45">
      <c r="A83" s="81" t="s">
        <v>120</v>
      </c>
      <c r="B83" s="79">
        <v>30</v>
      </c>
      <c r="C83" s="79"/>
      <c r="D83" s="79">
        <v>30</v>
      </c>
      <c r="E83" s="79">
        <v>60</v>
      </c>
    </row>
    <row r="84" spans="1:5" x14ac:dyDescent="0.45">
      <c r="A84" s="80"/>
      <c r="B84" s="79"/>
      <c r="C84" s="79"/>
      <c r="D84" s="79"/>
      <c r="E84" s="79"/>
    </row>
    <row r="85" spans="1:5" x14ac:dyDescent="0.45">
      <c r="A85" s="78" t="s">
        <v>317</v>
      </c>
      <c r="B85" s="79">
        <v>38</v>
      </c>
      <c r="C85" s="79"/>
      <c r="D85" s="79">
        <v>38</v>
      </c>
      <c r="E85" s="79">
        <v>76</v>
      </c>
    </row>
    <row r="86" spans="1:5" x14ac:dyDescent="0.45">
      <c r="A86" s="78"/>
      <c r="B86" s="79"/>
      <c r="C86" s="79"/>
      <c r="D86" s="79"/>
      <c r="E86" s="79"/>
    </row>
    <row r="87" spans="1:5" x14ac:dyDescent="0.45">
      <c r="A87" s="78" t="s">
        <v>103</v>
      </c>
      <c r="B87" s="79"/>
      <c r="C87" s="79"/>
      <c r="D87" s="79"/>
      <c r="E87" s="79"/>
    </row>
    <row r="88" spans="1:5" x14ac:dyDescent="0.45">
      <c r="A88" s="80" t="s">
        <v>68</v>
      </c>
      <c r="B88" s="79"/>
      <c r="C88" s="79"/>
      <c r="D88" s="79"/>
      <c r="E88" s="79"/>
    </row>
    <row r="89" spans="1:5" x14ac:dyDescent="0.45">
      <c r="A89" s="81" t="s">
        <v>102</v>
      </c>
      <c r="B89" s="79">
        <v>25</v>
      </c>
      <c r="C89" s="79">
        <v>25</v>
      </c>
      <c r="D89" s="79">
        <v>25</v>
      </c>
      <c r="E89" s="79">
        <v>75</v>
      </c>
    </row>
    <row r="90" spans="1:5" x14ac:dyDescent="0.45">
      <c r="A90" s="80"/>
      <c r="B90" s="79"/>
      <c r="C90" s="79"/>
      <c r="D90" s="79"/>
      <c r="E90" s="79"/>
    </row>
    <row r="91" spans="1:5" x14ac:dyDescent="0.45">
      <c r="A91" s="80" t="s">
        <v>72</v>
      </c>
      <c r="B91" s="79"/>
      <c r="C91" s="79"/>
      <c r="D91" s="79"/>
      <c r="E91" s="79"/>
    </row>
    <row r="92" spans="1:5" x14ac:dyDescent="0.45">
      <c r="A92" s="81" t="s">
        <v>107</v>
      </c>
      <c r="B92" s="79">
        <v>40</v>
      </c>
      <c r="C92" s="79">
        <v>40</v>
      </c>
      <c r="D92" s="79">
        <v>40</v>
      </c>
      <c r="E92" s="79">
        <v>120</v>
      </c>
    </row>
    <row r="93" spans="1:5" x14ac:dyDescent="0.45">
      <c r="A93" s="80"/>
      <c r="B93" s="79"/>
      <c r="C93" s="79"/>
      <c r="D93" s="79"/>
      <c r="E93" s="79"/>
    </row>
    <row r="94" spans="1:5" x14ac:dyDescent="0.45">
      <c r="A94" s="78" t="s">
        <v>318</v>
      </c>
      <c r="B94" s="79">
        <v>65</v>
      </c>
      <c r="C94" s="79">
        <v>65</v>
      </c>
      <c r="D94" s="79">
        <v>65</v>
      </c>
      <c r="E94" s="79">
        <v>195</v>
      </c>
    </row>
    <row r="95" spans="1:5" x14ac:dyDescent="0.45">
      <c r="A95" s="78"/>
      <c r="B95" s="79"/>
      <c r="C95" s="79"/>
      <c r="D95" s="79"/>
      <c r="E95" s="79"/>
    </row>
    <row r="96" spans="1:5" x14ac:dyDescent="0.45">
      <c r="A96" s="78" t="s">
        <v>306</v>
      </c>
      <c r="B96" s="79">
        <v>541</v>
      </c>
      <c r="C96" s="79">
        <v>560</v>
      </c>
      <c r="D96" s="79">
        <v>575</v>
      </c>
      <c r="E96" s="79">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Sheet1</vt:lpstr>
      <vt:lpstr>creatingtable</vt:lpstr>
      <vt:lpstr>Products</vt:lpstr>
      <vt:lpstr>Transactions</vt:lpstr>
      <vt:lpstr>Inventory</vt:lpstr>
      <vt:lpstr>Order</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2026-09-11T19:09:31Z</dcterms:modified>
</cp:coreProperties>
</file>