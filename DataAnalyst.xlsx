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lik\OneDrive\Documents\Data\Data\"/>
    </mc:Choice>
  </mc:AlternateContent>
  <xr:revisionPtr revIDLastSave="0" documentId="13_ncr:1_{944A9EAC-22D2-480F-AD77-22186E640129}" xr6:coauthVersionLast="47" xr6:coauthVersionMax="47" xr10:uidLastSave="{00000000-0000-0000-0000-000000000000}"/>
  <bookViews>
    <workbookView xWindow="-21720" yWindow="-9015" windowWidth="21840" windowHeight="13740" activeTab="4" xr2:uid="{00000000-000D-0000-FFFF-FFFF00000000}"/>
  </bookViews>
  <sheets>
    <sheet name="Sheet1" sheetId="1" r:id="rId1"/>
    <sheet name="creatingtable" sheetId="2" r:id="rId2"/>
    <sheet name="Products" sheetId="3" r:id="rId3"/>
    <sheet name="Transactions" sheetId="4" r:id="rId4"/>
    <sheet name="Inventory Sheet" sheetId="5" r:id="rId5"/>
  </sheets>
  <definedNames>
    <definedName name="ProductList">Products[ProductID]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E22" i="1"/>
  <c r="E21" i="1"/>
  <c r="E20" i="1"/>
  <c r="E19" i="1"/>
  <c r="E18" i="1"/>
  <c r="E17" i="1"/>
  <c r="E16" i="1"/>
  <c r="M31" i="2"/>
  <c r="I31" i="2"/>
  <c r="H31" i="2"/>
  <c r="P30" i="2"/>
  <c r="M30" i="2"/>
  <c r="J30" i="2"/>
  <c r="Q30" i="2" s="1"/>
  <c r="C30" i="2"/>
  <c r="P29" i="2"/>
  <c r="M29" i="2"/>
  <c r="J29" i="2"/>
  <c r="Q29" i="2" s="1"/>
  <c r="C29" i="2"/>
  <c r="P28" i="2"/>
  <c r="M28" i="2"/>
  <c r="J28" i="2"/>
  <c r="Q28" i="2" s="1"/>
  <c r="C28" i="2"/>
  <c r="P27" i="2"/>
  <c r="M27" i="2"/>
  <c r="J27" i="2"/>
  <c r="C27" i="2"/>
  <c r="P26" i="2"/>
  <c r="M26" i="2"/>
  <c r="J26" i="2"/>
  <c r="C26" i="2"/>
  <c r="P25" i="2"/>
  <c r="M25" i="2"/>
  <c r="J25" i="2"/>
  <c r="Q25" i="2" s="1"/>
  <c r="C25" i="2"/>
  <c r="P24" i="2"/>
  <c r="M24" i="2"/>
  <c r="J24" i="2"/>
  <c r="Q24" i="2" s="1"/>
  <c r="C24" i="2"/>
  <c r="P23" i="2"/>
  <c r="M23" i="2"/>
  <c r="J23" i="2"/>
  <c r="Q23" i="2" s="1"/>
  <c r="C23" i="2"/>
  <c r="P22" i="2"/>
  <c r="M22" i="2"/>
  <c r="J22" i="2"/>
  <c r="Q22" i="2" s="1"/>
  <c r="C22" i="2"/>
  <c r="P21" i="2"/>
  <c r="M21" i="2"/>
  <c r="J21" i="2"/>
  <c r="Q21" i="2" s="1"/>
  <c r="C21" i="2"/>
  <c r="P20" i="2"/>
  <c r="M20" i="2"/>
  <c r="J20" i="2"/>
  <c r="Q20" i="2" s="1"/>
  <c r="C20" i="2"/>
  <c r="P19" i="2"/>
  <c r="M19" i="2"/>
  <c r="Q19" i="2" s="1"/>
  <c r="J19" i="2"/>
  <c r="C19" i="2"/>
  <c r="P18" i="2"/>
  <c r="M18" i="2"/>
  <c r="J18" i="2"/>
  <c r="Q18" i="2" s="1"/>
  <c r="C18" i="2"/>
  <c r="P17" i="2"/>
  <c r="M17" i="2"/>
  <c r="J17" i="2"/>
  <c r="Q17" i="2" s="1"/>
  <c r="C17" i="2"/>
  <c r="P16" i="2"/>
  <c r="M16" i="2"/>
  <c r="J16" i="2"/>
  <c r="Q16" i="2" s="1"/>
  <c r="C16" i="2"/>
  <c r="P15" i="2"/>
  <c r="M15" i="2"/>
  <c r="J15" i="2"/>
  <c r="Q15" i="2" s="1"/>
  <c r="C15" i="2"/>
  <c r="P14" i="2"/>
  <c r="M14" i="2"/>
  <c r="J14" i="2"/>
  <c r="Q14" i="2" s="1"/>
  <c r="C14" i="2"/>
  <c r="P13" i="2"/>
  <c r="M13" i="2"/>
  <c r="J13" i="2"/>
  <c r="Q13" i="2" s="1"/>
  <c r="C13" i="2"/>
  <c r="P12" i="2"/>
  <c r="M12" i="2"/>
  <c r="J12" i="2"/>
  <c r="Q12" i="2" s="1"/>
  <c r="C12" i="2"/>
  <c r="P11" i="2"/>
  <c r="M11" i="2"/>
  <c r="J11" i="2"/>
  <c r="Q11" i="2" s="1"/>
  <c r="C11" i="2"/>
  <c r="P10" i="2"/>
  <c r="M10" i="2"/>
  <c r="J10" i="2"/>
  <c r="Q10" i="2" s="1"/>
  <c r="C10" i="2"/>
  <c r="P9" i="2"/>
  <c r="M9" i="2"/>
  <c r="J9" i="2"/>
  <c r="Q9" i="2" s="1"/>
  <c r="C9" i="2"/>
  <c r="P8" i="2"/>
  <c r="M8" i="2"/>
  <c r="J8" i="2"/>
  <c r="Q8" i="2" s="1"/>
  <c r="C8" i="2"/>
  <c r="P7" i="2"/>
  <c r="M7" i="2"/>
  <c r="J7" i="2"/>
  <c r="Q7" i="2" s="1"/>
  <c r="C7" i="2"/>
  <c r="P6" i="2"/>
  <c r="M6" i="2"/>
  <c r="J6" i="2"/>
  <c r="Q6" i="2" s="1"/>
  <c r="C6" i="2"/>
  <c r="P5" i="2"/>
  <c r="M5" i="2"/>
  <c r="J5" i="2"/>
  <c r="Q5" i="2" s="1"/>
  <c r="C5" i="2"/>
  <c r="J31" i="2" l="1"/>
  <c r="Q27" i="2"/>
  <c r="P31" i="2"/>
  <c r="Q26" i="2"/>
  <c r="Q31" i="2" s="1"/>
</calcChain>
</file>

<file path=xl/sharedStrings.xml><?xml version="1.0" encoding="utf-8"?>
<sst xmlns="http://schemas.openxmlformats.org/spreadsheetml/2006/main" count="732" uniqueCount="304">
  <si>
    <t>ELECTRONICS COMPANIES REPORT Q1 2023</t>
  </si>
  <si>
    <t>January</t>
  </si>
  <si>
    <t>February</t>
  </si>
  <si>
    <t>March</t>
  </si>
  <si>
    <t>QUARTERLY</t>
  </si>
  <si>
    <t>#</t>
  </si>
  <si>
    <t>COMPANIES</t>
  </si>
  <si>
    <t>NUMBER OF EMPLOYEES</t>
  </si>
  <si>
    <t>COLOR</t>
  </si>
  <si>
    <t>LAUNCH DATE</t>
  </si>
  <si>
    <t>QUANTITY</t>
  </si>
  <si>
    <t>PRICE</t>
  </si>
  <si>
    <t>AMOUNT</t>
  </si>
  <si>
    <t xml:space="preserve">QUANTITY </t>
  </si>
  <si>
    <t xml:space="preserve">PRICE </t>
  </si>
  <si>
    <t xml:space="preserve">AMOUNT </t>
  </si>
  <si>
    <t xml:space="preserve">QUANTITY  </t>
  </si>
  <si>
    <t xml:space="preserve">PRICE  </t>
  </si>
  <si>
    <t xml:space="preserve">AMOUNT  </t>
  </si>
  <si>
    <t>TOTAL</t>
  </si>
  <si>
    <t>Dynamic Power Systems</t>
  </si>
  <si>
    <t>Green</t>
  </si>
  <si>
    <t>Peak Fitness Equipment</t>
  </si>
  <si>
    <t>gREEN</t>
  </si>
  <si>
    <t>Oceanic Travel Services</t>
  </si>
  <si>
    <t>GREEN</t>
  </si>
  <si>
    <t>TechNova Solutions</t>
  </si>
  <si>
    <t>BrightPath Education</t>
  </si>
  <si>
    <t>SwiftLogistics LLC</t>
  </si>
  <si>
    <t>Stellar Events Agency</t>
  </si>
  <si>
    <t>Visionary Design Studio</t>
  </si>
  <si>
    <t>Evergreen Landscaping</t>
  </si>
  <si>
    <t>Sunrise Solar Panels</t>
  </si>
  <si>
    <t>Skyline Ventures</t>
  </si>
  <si>
    <t>Summit Apparel Co.</t>
  </si>
  <si>
    <t>green</t>
  </si>
  <si>
    <t>UrbanCraft Furniture</t>
  </si>
  <si>
    <t>red</t>
  </si>
  <si>
    <t>Pinnacle Marketing Group</t>
  </si>
  <si>
    <t>Precision Print Services</t>
  </si>
  <si>
    <t>BlueWave Technologies</t>
  </si>
  <si>
    <t>EcoSphere Supplies</t>
  </si>
  <si>
    <t>NextGen Innovations</t>
  </si>
  <si>
    <t>GreenLeaf Organics</t>
  </si>
  <si>
    <t>Harmony Health Products</t>
  </si>
  <si>
    <t>Total</t>
  </si>
  <si>
    <t>Revenue from cookie Sales</t>
  </si>
  <si>
    <t>Type</t>
  </si>
  <si>
    <t>Year</t>
  </si>
  <si>
    <t>Revenue</t>
  </si>
  <si>
    <t>Sugar</t>
  </si>
  <si>
    <t>2019/results</t>
  </si>
  <si>
    <t>Chocolate Chip</t>
  </si>
  <si>
    <t>Fortune Cookie</t>
  </si>
  <si>
    <t>Oatmeal Raisin</t>
  </si>
  <si>
    <t>Snickerdoodle</t>
  </si>
  <si>
    <t>White Chocolate Macadamia Nut</t>
  </si>
  <si>
    <t>Client Name</t>
  </si>
  <si>
    <t>Order Amount ($)</t>
  </si>
  <si>
    <t>Reacher Gr</t>
  </si>
  <si>
    <t>ProductID</t>
  </si>
  <si>
    <t>Product Name</t>
  </si>
  <si>
    <t>Store A</t>
  </si>
  <si>
    <t>P001</t>
  </si>
  <si>
    <t>Store B</t>
  </si>
  <si>
    <t>Store C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</si>
  <si>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</si>
  <si>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</si>
  <si>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</si>
  <si>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</si>
  <si>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</si>
  <si>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</si>
  <si>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</si>
  <si>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</si>
  <si>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</si>
  <si>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</si>
  <si>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</si>
  <si>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</si>
  <si>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</si>
  <si>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</si>
  <si>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</si>
  <si>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</si>
  <si>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</si>
  <si>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</si>
  <si>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</si>
  <si>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Site</t>
  </si>
  <si>
    <t>Cost/Unit</t>
  </si>
  <si>
    <t>Reorder Level</t>
  </si>
  <si>
    <t>QuantityOnHand</t>
  </si>
  <si>
    <t>Stock Value</t>
  </si>
  <si>
    <t>Reorder</t>
  </si>
  <si>
    <t>Order Date</t>
  </si>
  <si>
    <t>Product Description</t>
  </si>
  <si>
    <t>Supplier</t>
  </si>
  <si>
    <t>Category</t>
  </si>
  <si>
    <t>Industrial Safety Gloves</t>
  </si>
  <si>
    <t>PPE</t>
  </si>
  <si>
    <t>NorthStar Industrial Supply</t>
  </si>
  <si>
    <t>Steel-Toe Work Boots</t>
  </si>
  <si>
    <t>ProSafe Equipment</t>
  </si>
  <si>
    <t>Safety Glasses</t>
  </si>
  <si>
    <t>Guardian Safety Products</t>
  </si>
  <si>
    <t>High-Visibility Safety Vest</t>
  </si>
  <si>
    <t>WorkShield Canada</t>
  </si>
  <si>
    <t>Hard Hat - Yellow</t>
  </si>
  <si>
    <t>Ear Protection Earmuffs</t>
  </si>
  <si>
    <t>Disposable Dust Mask</t>
  </si>
  <si>
    <t>Cut-Resistant Gloves</t>
  </si>
  <si>
    <t>Aluminum Step Ladder</t>
  </si>
  <si>
    <t>Warehouse Equipment</t>
  </si>
  <si>
    <t>Maple Industrial Supply</t>
  </si>
  <si>
    <t>Platform Hand Truck</t>
  </si>
  <si>
    <t>Material Handling</t>
  </si>
  <si>
    <t>Northern Material Handling</t>
  </si>
  <si>
    <t>Heavy-Duty Pallet Jack</t>
  </si>
  <si>
    <t>Warehouse Solutions Inc.</t>
  </si>
  <si>
    <t>Steel Storage Bin</t>
  </si>
  <si>
    <t>Storage</t>
  </si>
  <si>
    <t>Plastic Parts Bin</t>
  </si>
  <si>
    <t>StoragePro Canada</t>
  </si>
  <si>
    <t>Wire Shelving Unit</t>
  </si>
  <si>
    <t>Mobile Storage Cart</t>
  </si>
  <si>
    <t>Plastic Tote - 27 Gallon</t>
  </si>
  <si>
    <t>Corrugated Shipping Box - Small</t>
  </si>
  <si>
    <t>Packaging</t>
  </si>
  <si>
    <t>PackRight Solutions</t>
  </si>
  <si>
    <t>Corrugated Shipping Box - Medium</t>
  </si>
  <si>
    <t>Corrugated Shipping Box - Large</t>
  </si>
  <si>
    <t>BoxWorks Canada</t>
  </si>
  <si>
    <t>Stretch Wrap Roll</t>
  </si>
  <si>
    <t>Bubble Wrap Roll</t>
  </si>
  <si>
    <t>Packaging Plus</t>
  </si>
  <si>
    <t>Packing Tape - Clear</t>
  </si>
  <si>
    <t>Heavy-Duty Strapping</t>
  </si>
  <si>
    <t>Shipping Labels - 4x6</t>
  </si>
  <si>
    <t>LabelPro Canada</t>
  </si>
  <si>
    <t>Barcode Label Roll</t>
  </si>
  <si>
    <t>Inventory Supplies</t>
  </si>
  <si>
    <t>Thermal Printer Labels</t>
  </si>
  <si>
    <t>PrintSupply Solutions</t>
  </si>
  <si>
    <t>Permanent Marker - Black</t>
  </si>
  <si>
    <t>Office Supplies</t>
  </si>
  <si>
    <t>Grand Office Supply</t>
  </si>
  <si>
    <t>Clipboard - Plastic</t>
  </si>
  <si>
    <t>Warehouse Clipboard</t>
  </si>
  <si>
    <t>OfficeSource Canada</t>
  </si>
  <si>
    <t>Inventory Count Sheets</t>
  </si>
  <si>
    <t>RF Barcode Scanner</t>
  </si>
  <si>
    <t>Technology</t>
  </si>
  <si>
    <t>ScanTech Solutions</t>
  </si>
  <si>
    <t>USB Barcode Scanner</t>
  </si>
  <si>
    <t>Wireless Keyboard</t>
  </si>
  <si>
    <t>TechSource Canada</t>
  </si>
  <si>
    <t>Wireless Mouse</t>
  </si>
  <si>
    <t>Industrial Tablet</t>
  </si>
  <si>
    <t>WarehouseTech Inc.</t>
  </si>
  <si>
    <t>Ethernet Cable - 10ft</t>
  </si>
  <si>
    <t>Network Supply Co.</t>
  </si>
  <si>
    <t>Label Printer</t>
  </si>
  <si>
    <t>Portable Work Light</t>
  </si>
  <si>
    <t>Tools &amp; Equipment</t>
  </si>
  <si>
    <t>ToolPro Canada</t>
  </si>
  <si>
    <t>Cordless Drill</t>
  </si>
  <si>
    <t>Adjustable Wrench</t>
  </si>
  <si>
    <t>Canadian Tool Supply</t>
  </si>
  <si>
    <t>Socket Set - 40 Piece</t>
  </si>
  <si>
    <t>Screwdriver Set</t>
  </si>
  <si>
    <t>Utility Knife</t>
  </si>
  <si>
    <t>Industrial Tool Depot</t>
  </si>
  <si>
    <t>Replacement Utility Blades</t>
  </si>
  <si>
    <t>Measuring Tape - 25ft</t>
  </si>
  <si>
    <t>Machine Lubricant</t>
  </si>
  <si>
    <t>Maintenance Supplies</t>
  </si>
  <si>
    <t>Industrial Maintenance Co.</t>
  </si>
  <si>
    <t>Multi-Purpose Grease</t>
  </si>
  <si>
    <t>Hydraulic Oil - 5L</t>
  </si>
  <si>
    <t>FluidTech Canada</t>
  </si>
  <si>
    <t>Industrial Cleaner</t>
  </si>
  <si>
    <t>CleanTech Supply</t>
  </si>
  <si>
    <t>Degreaser - 4L</t>
  </si>
  <si>
    <t>Absorbent Spill Pads</t>
  </si>
  <si>
    <t>SafetyFirst Canada</t>
  </si>
  <si>
    <t>Oil Absorbent Granules</t>
  </si>
  <si>
    <t>Replacement Air Filter</t>
  </si>
  <si>
    <t>Maintenance Parts</t>
  </si>
  <si>
    <t>FilterSource Canada</t>
  </si>
  <si>
    <t>Hydraulic Filter</t>
  </si>
  <si>
    <t>Conveyor Belt - 10ft</t>
  </si>
  <si>
    <t>Conveyor Solutions Inc.</t>
  </si>
  <si>
    <t>Roller Bearing - 6205</t>
  </si>
  <si>
    <t>Bearing Supply Canada</t>
  </si>
  <si>
    <t>Steel Fasteners - M8</t>
  </si>
  <si>
    <t>Hardware</t>
  </si>
  <si>
    <t>FastenRight Canada</t>
  </si>
  <si>
    <t>Hex Bolts - M10</t>
  </si>
  <si>
    <t>Stainless Steel Nuts</t>
  </si>
  <si>
    <t>HardwareSource Inc.</t>
  </si>
  <si>
    <t>Flat Washers - M10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</si>
  <si>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</si>
  <si>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</si>
  <si>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</si>
  <si>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</si>
  <si>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</si>
  <si>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</si>
  <si>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</si>
  <si>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</si>
  <si>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</si>
  <si>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</si>
  <si>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</si>
  <si>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</si>
  <si>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</si>
  <si>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</si>
  <si>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</si>
  <si>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</si>
  <si>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</si>
  <si>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</si>
  <si>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</si>
  <si>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</si>
  <si>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</si>
  <si>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</si>
  <si>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</si>
  <si>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</si>
  <si>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</si>
  <si>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</si>
  <si>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</si>
  <si>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</si>
  <si>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</si>
  <si>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</si>
  <si>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</si>
  <si>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</si>
  <si>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</si>
  <si>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</si>
  <si>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</si>
  <si>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</si>
  <si>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</si>
  <si>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</si>
  <si>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</si>
  <si>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</si>
  <si>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TransID</t>
  </si>
  <si>
    <t>Date</t>
  </si>
  <si>
    <t>Quantity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</si>
  <si>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</si>
  <si>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</si>
  <si>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</si>
  <si>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</si>
  <si>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</si>
  <si>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</si>
  <si>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</si>
  <si>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</si>
  <si>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</si>
  <si>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</si>
  <si>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</si>
  <si>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</si>
  <si>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</si>
  <si>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</si>
  <si>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</si>
  <si>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</si>
  <si>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</si>
  <si>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</si>
  <si>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</si>
  <si>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</si>
  <si>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</si>
  <si>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</si>
  <si>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</si>
  <si>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</si>
  <si>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</si>
  <si>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</si>
  <si>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</si>
  <si>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</si>
  <si>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</si>
  <si>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</si>
  <si>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</si>
  <si>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</si>
  <si>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</si>
  <si>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</si>
  <si>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</si>
  <si>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</si>
  <si>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</si>
  <si>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</si>
  <si>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</si>
  <si>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</si>
  <si>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</si>
  <si>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</si>
  <si>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</si>
  <si>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</si>
  <si>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</si>
  <si>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</si>
  <si>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</si>
  <si>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</si>
  <si>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</si>
  <si>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</si>
  <si>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</si>
  <si>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</si>
  <si>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</si>
  <si>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</si>
  <si>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</si>
  <si>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</si>
  <si>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</si>
  <si>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</si>
  <si>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</si>
  <si>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</si>
  <si>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Opening Stock</t>
  </si>
  <si>
    <t>Sale</t>
  </si>
  <si>
    <t>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</si>
</sst>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;\-&quot;$&quot;#,##0.00"/>
    <numFmt numFmtId="164" formatCode="mmm/dd"/>
    <numFmt numFmtId="167" formatCode="_-&quot;$&quot;* #,##0.00_-;\-&quot;$&quot;* #,##0.00_-;_-&quot;$&quot;* &quot;-&quot;??_-;_-@_-"/>
    <numFmt numFmtId="168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20"/>
      <color rgb="FF000000"/>
      <name val="Aptos Narrow"/>
      <family val="2"/>
    </font>
    <font>
      <b/>
      <sz val="16"/>
      <color rgb="FF000000"/>
      <name val="Aptos Narrow"/>
      <family val="2"/>
    </font>
    <font>
      <sz val="11"/>
      <color theme="1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FFFFFF"/>
      <name val="Aptos Narrow"/>
      <family val="2"/>
    </font>
    <font>
      <sz val="11"/>
      <color rgb="FF000000"/>
      <name val="Aptos Narrow"/>
      <family val="2"/>
    </font>
    <font>
      <sz val="16"/>
      <color rgb="FF000000"/>
      <name val="Aptos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7F7F7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56082"/>
      </patternFill>
    </fill>
    <fill>
      <patternFill patternType="solid">
        <fgColor rgb="FFC0E6F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44B3E1"/>
      </left>
      <right style="thin">
        <color rgb="FFC6C6C6"/>
      </right>
      <top style="thin">
        <color rgb="FF44B3E1"/>
      </top>
      <bottom style="thin">
        <color rgb="FFC6C6C6"/>
      </bottom>
      <diagonal/>
    </border>
    <border>
      <left style="thin">
        <color rgb="FFC6C6C6"/>
      </left>
      <right style="thin">
        <color rgb="FF44B3E1"/>
      </right>
      <top style="thin">
        <color rgb="FF44B3E1"/>
      </top>
      <bottom style="thin">
        <color rgb="FFC6C6C6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2">
    <xf numFmtId="0" fontId="0" fillId="0" borderId="0"/>
    <xf numFmtId="0" fontId="9" fillId="0" borderId="3"/>
    <xf numFmtId="168" fontId="9" fillId="0" borderId="3" applyFont="0" applyFill="0" applyBorder="0" applyAlignment="0" applyProtection="0"/>
    <xf numFmtId="167" fontId="9" fillId="0" borderId="3" applyFont="0" applyFill="0" applyBorder="0" applyAlignment="0" applyProtection="0"/>
    <xf numFmtId="0" fontId="9" fillId="0" borderId="3"/>
    <xf numFmtId="0" fontId="9" fillId="0" borderId="3"/>
    <xf numFmtId="0" fontId="9" fillId="0" borderId="3"/>
    <xf numFmtId="0" fontId="9" fillId="0" borderId="3"/>
    <xf numFmtId="0" fontId="9" fillId="0" borderId="3"/>
    <xf numFmtId="0" fontId="9" fillId="0" borderId="3"/>
    <xf numFmtId="0" fontId="9" fillId="0" borderId="3"/>
    <xf numFmtId="0" fontId="9" fillId="0" borderId="3"/>
  </cellStyleXfs>
  <cellXfs count="79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horizontal="right"/>
    </xf>
    <xf numFmtId="7" fontId="0" fillId="0" borderId="0" xfId="0" applyNumberFormat="1" applyAlignment="1">
      <alignment horizontal="right"/>
    </xf>
    <xf numFmtId="7" fontId="0" fillId="0" borderId="0" xfId="0" applyNumberFormat="1"/>
    <xf numFmtId="3" fontId="2" fillId="3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164" fontId="2" fillId="3" borderId="2" xfId="0" applyNumberFormat="1" applyFont="1" applyFill="1" applyBorder="1" applyAlignment="1">
      <alignment horizontal="left" wrapText="1"/>
    </xf>
    <xf numFmtId="3" fontId="2" fillId="3" borderId="1" xfId="0" applyNumberFormat="1" applyFont="1" applyFill="1" applyBorder="1" applyAlignment="1">
      <alignment horizontal="left" wrapText="1"/>
    </xf>
    <xf numFmtId="7" fontId="2" fillId="3" borderId="1" xfId="0" applyNumberFormat="1" applyFont="1" applyFill="1" applyBorder="1" applyAlignment="1">
      <alignment horizontal="left" wrapText="1"/>
    </xf>
    <xf numFmtId="7" fontId="2" fillId="3" borderId="2" xfId="0" applyNumberFormat="1" applyFont="1" applyFill="1" applyBorder="1" applyAlignment="1">
      <alignment horizontal="left" wrapText="1"/>
    </xf>
    <xf numFmtId="3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left" wrapText="1"/>
    </xf>
    <xf numFmtId="7" fontId="3" fillId="0" borderId="1" xfId="0" applyNumberFormat="1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 wrapText="1"/>
    </xf>
    <xf numFmtId="7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left"/>
    </xf>
    <xf numFmtId="3" fontId="3" fillId="0" borderId="3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164" fontId="3" fillId="0" borderId="4" xfId="0" applyNumberFormat="1" applyFont="1" applyBorder="1" applyAlignment="1">
      <alignment horizontal="left" wrapText="1"/>
    </xf>
    <xf numFmtId="3" fontId="3" fillId="0" borderId="4" xfId="0" applyNumberFormat="1" applyFont="1" applyBorder="1" applyAlignment="1">
      <alignment horizontal="left"/>
    </xf>
    <xf numFmtId="7" fontId="3" fillId="0" borderId="4" xfId="0" applyNumberFormat="1" applyFont="1" applyBorder="1" applyAlignment="1">
      <alignment horizontal="right"/>
    </xf>
    <xf numFmtId="7" fontId="3" fillId="0" borderId="1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7" fontId="5" fillId="0" borderId="3" xfId="0" applyNumberFormat="1" applyFont="1" applyBorder="1" applyAlignment="1">
      <alignment horizontal="left"/>
    </xf>
    <xf numFmtId="4" fontId="5" fillId="0" borderId="3" xfId="0" applyNumberFormat="1" applyFont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7" fontId="5" fillId="4" borderId="5" xfId="0" applyNumberFormat="1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3" fontId="5" fillId="0" borderId="3" xfId="0" applyNumberFormat="1" applyFont="1" applyBorder="1" applyAlignment="1">
      <alignment horizontal="right"/>
    </xf>
    <xf numFmtId="7" fontId="5" fillId="0" borderId="3" xfId="0" applyNumberFormat="1" applyFont="1" applyBorder="1" applyAlignment="1">
      <alignment horizontal="right"/>
    </xf>
    <xf numFmtId="3" fontId="5" fillId="4" borderId="5" xfId="0" applyNumberFormat="1" applyFont="1" applyFill="1" applyBorder="1" applyAlignment="1">
      <alignment horizontal="right"/>
    </xf>
    <xf numFmtId="0" fontId="5" fillId="5" borderId="5" xfId="0" applyFont="1" applyFill="1" applyBorder="1" applyAlignment="1">
      <alignment horizontal="left"/>
    </xf>
    <xf numFmtId="4" fontId="0" fillId="0" borderId="0" xfId="0" applyNumberFormat="1" applyAlignment="1">
      <alignment horizontal="right"/>
    </xf>
    <xf numFmtId="0" fontId="6" fillId="6" borderId="6" xfId="0" applyFont="1" applyFill="1" applyBorder="1" applyAlignment="1">
      <alignment horizontal="left"/>
    </xf>
    <xf numFmtId="7" fontId="6" fillId="6" borderId="7" xfId="0" applyNumberFormat="1" applyFont="1" applyFill="1" applyBorder="1" applyAlignment="1">
      <alignment horizontal="left"/>
    </xf>
    <xf numFmtId="7" fontId="7" fillId="0" borderId="3" xfId="0" applyNumberFormat="1" applyFont="1" applyBorder="1" applyAlignment="1">
      <alignment horizontal="left"/>
    </xf>
    <xf numFmtId="4" fontId="6" fillId="6" borderId="6" xfId="0" applyNumberFormat="1" applyFont="1" applyFill="1" applyBorder="1" applyAlignment="1">
      <alignment horizontal="left"/>
    </xf>
    <xf numFmtId="3" fontId="6" fillId="6" borderId="7" xfId="0" applyNumberFormat="1" applyFont="1" applyFill="1" applyBorder="1" applyAlignment="1">
      <alignment horizontal="left"/>
    </xf>
    <xf numFmtId="0" fontId="8" fillId="7" borderId="6" xfId="0" applyFont="1" applyFill="1" applyBorder="1" applyAlignment="1">
      <alignment horizontal="left"/>
    </xf>
    <xf numFmtId="7" fontId="8" fillId="7" borderId="7" xfId="0" applyNumberFormat="1" applyFont="1" applyFill="1" applyBorder="1" applyAlignment="1">
      <alignment horizontal="right"/>
    </xf>
    <xf numFmtId="4" fontId="8" fillId="7" borderId="6" xfId="0" applyNumberFormat="1" applyFont="1" applyFill="1" applyBorder="1" applyAlignment="1">
      <alignment horizontal="left"/>
    </xf>
    <xf numFmtId="4" fontId="8" fillId="7" borderId="7" xfId="0" applyNumberFormat="1" applyFont="1" applyFill="1" applyBorder="1" applyAlignment="1">
      <alignment horizontal="right"/>
    </xf>
    <xf numFmtId="0" fontId="8" fillId="0" borderId="8" xfId="0" applyFont="1" applyBorder="1" applyAlignment="1">
      <alignment horizontal="left"/>
    </xf>
    <xf numFmtId="7" fontId="8" fillId="0" borderId="9" xfId="0" applyNumberFormat="1" applyFont="1" applyBorder="1" applyAlignment="1">
      <alignment horizontal="right"/>
    </xf>
    <xf numFmtId="4" fontId="8" fillId="0" borderId="8" xfId="0" applyNumberFormat="1" applyFont="1" applyBorder="1" applyAlignment="1">
      <alignment horizontal="left"/>
    </xf>
    <xf numFmtId="3" fontId="8" fillId="7" borderId="7" xfId="0" applyNumberFormat="1" applyFont="1" applyFill="1" applyBorder="1" applyAlignment="1">
      <alignment horizontal="right"/>
    </xf>
    <xf numFmtId="4" fontId="7" fillId="0" borderId="3" xfId="0" applyNumberFormat="1" applyFont="1" applyBorder="1" applyAlignment="1">
      <alignment horizontal="left"/>
    </xf>
    <xf numFmtId="3" fontId="7" fillId="0" borderId="3" xfId="0" applyNumberFormat="1" applyFont="1" applyBorder="1" applyAlignment="1">
      <alignment horizontal="left"/>
    </xf>
    <xf numFmtId="4" fontId="3" fillId="0" borderId="3" xfId="0" applyNumberFormat="1" applyFont="1" applyBorder="1" applyAlignment="1">
      <alignment horizontal="right"/>
    </xf>
    <xf numFmtId="0" fontId="8" fillId="0" borderId="10" xfId="0" applyFont="1" applyBorder="1" applyAlignment="1">
      <alignment horizontal="left"/>
    </xf>
    <xf numFmtId="7" fontId="8" fillId="0" borderId="11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7" fontId="1" fillId="2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 wrapText="1"/>
    </xf>
    <xf numFmtId="7" fontId="2" fillId="3" borderId="1" xfId="0" applyNumberFormat="1" applyFont="1" applyFill="1" applyBorder="1" applyAlignment="1">
      <alignment horizontal="center" wrapText="1"/>
    </xf>
    <xf numFmtId="0" fontId="11" fillId="0" borderId="0" xfId="0" applyFont="1"/>
    <xf numFmtId="0" fontId="9" fillId="0" borderId="3" xfId="4"/>
    <xf numFmtId="14" fontId="9" fillId="0" borderId="3" xfId="4" applyNumberFormat="1"/>
    <xf numFmtId="168" fontId="0" fillId="0" borderId="3" xfId="2" applyFont="1"/>
    <xf numFmtId="168" fontId="9" fillId="0" borderId="3" xfId="4" applyNumberFormat="1"/>
    <xf numFmtId="168" fontId="0" fillId="0" borderId="3" xfId="2" applyFont="1"/>
    <xf numFmtId="14" fontId="9" fillId="0" borderId="3" xfId="7" applyNumberFormat="1" applyAlignment="1">
      <alignment horizontal="center"/>
    </xf>
    <xf numFmtId="0" fontId="9" fillId="0" borderId="3" xfId="9"/>
    <xf numFmtId="0" fontId="0" fillId="0" borderId="0" xfId="0" applyAlignment="1">
      <alignment horizontal="center"/>
    </xf>
    <xf numFmtId="0" fontId="9" fillId="0" borderId="3" xfId="9" applyAlignment="1">
      <alignment horizontal="center"/>
    </xf>
    <xf numFmtId="0" fontId="9" fillId="0" borderId="3" xfId="8" applyAlignment="1">
      <alignment horizontal="center"/>
    </xf>
    <xf numFmtId="0" fontId="9" fillId="0" borderId="3" xfId="10"/>
    <xf numFmtId="168" fontId="0" fillId="0" borderId="3" xfId="2" applyFont="1"/>
    <xf numFmtId="0" fontId="9" fillId="0" borderId="3" xfId="11"/>
  </cellXfs>
  <cellStyles count="12">
    <cellStyle name="Comma 2" xfId="2" xr:uid="{72D35A1C-E0E1-4D48-ACA5-2713C7D76C54}"/>
    <cellStyle name="Currency 2" xfId="3" xr:uid="{5FCDA341-36C1-44C8-A84F-DD4220D7588E}"/>
    <cellStyle name="Normal" xfId="0" builtinId="0"/>
    <cellStyle name="Normal 10" xfId="11" xr:uid="{E85ACF5D-AF0D-42E4-9A15-198AAAA0D245}"/>
    <cellStyle name="Normal 2" xfId="1" xr:uid="{4F19D639-9EDA-4ED7-894B-95E892051C00}"/>
    <cellStyle name="Normal 3" xfId="4" xr:uid="{EB00786D-1BFA-4FE2-9C94-0F83B3ABD247}"/>
    <cellStyle name="Normal 4" xfId="5" xr:uid="{EE3DB81E-1F5E-40AE-96F3-E9492D96486F}"/>
    <cellStyle name="Normal 5" xfId="6" xr:uid="{B7B71ECD-932F-4B2C-AEDB-A565C2663224}"/>
    <cellStyle name="Normal 6" xfId="7" xr:uid="{EE61153F-2D20-41FC-881C-0DE085562B8B}"/>
    <cellStyle name="Normal 7" xfId="8" xr:uid="{7515CE29-CEE9-4E05-A649-1306565DAB80}"/>
    <cellStyle name="Normal 8" xfId="9" xr:uid="{0EFC0AAE-EB0E-4FA2-885A-2DA2EB3F3608}"/>
    <cellStyle name="Normal 9" xfId="10" xr:uid="{DFABB175-7506-410D-8AC4-26F83CE150B7}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yyyy/mm/dd"/>
    </dxf>
    <dxf>
      <numFmt numFmtId="168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1" formatCode="&quot;$&quot;#,##0.00;\-&quot;$&quot;#,##0.00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1" formatCode="&quot;$&quot;#,##0.00;\-&quot;$&quot;#,##0.00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1" formatCode="&quot;$&quot;#,##0.00;\-&quot;$&quot;#,##0.0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1" formatCode="&quot;$&quot;#,##0.00;\-&quot;$&quot;#,##0.00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1" formatCode="&quot;$&quot;#,##0.00;\-&quot;$&quot;#,##0.0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1" formatCode="&quot;$&quot;#,##0.00;\-&quot;$&quot;#,##0.00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1" formatCode="&quot;$&quot;#,##0.00;\-&quot;$&quot;#,##0.00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mm/dd"/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4:Q31" totalsRowCount="1">
  <autoFilter ref="C4:Q30" xr:uid="{00000000-0009-0000-0100-000001000000}"/>
  <tableColumns count="15">
    <tableColumn id="1" xr3:uid="{00000000-0010-0000-0000-000001000000}" name="#" totalsRowLabel="Total" totalsRowDxfId="28"/>
    <tableColumn id="2" xr3:uid="{00000000-0010-0000-0000-000002000000}" name="COMPANIES" totalsRowDxfId="27"/>
    <tableColumn id="3" xr3:uid="{00000000-0010-0000-0000-000003000000}" name="NUMBER OF EMPLOYEES" totalsRowDxfId="26"/>
    <tableColumn id="4" xr3:uid="{00000000-0010-0000-0000-000004000000}" name="COLOR" totalsRowDxfId="25"/>
    <tableColumn id="5" xr3:uid="{00000000-0010-0000-0000-000005000000}" name="LAUNCH DATE" totalsRowDxfId="24"/>
    <tableColumn id="6" xr3:uid="{00000000-0010-0000-0000-000006000000}" name="QUANTITY" totalsRowFunction="sum" totalsRowDxfId="23"/>
    <tableColumn id="7" xr3:uid="{00000000-0010-0000-0000-000007000000}" name="PRICE" totalsRowFunction="sum" totalsRowDxfId="22"/>
    <tableColumn id="8" xr3:uid="{00000000-0010-0000-0000-000008000000}" name="AMOUNT" totalsRowFunction="sum" totalsRowDxfId="21"/>
    <tableColumn id="9" xr3:uid="{00000000-0010-0000-0000-000009000000}" name="QUANTITY " totalsRowDxfId="20"/>
    <tableColumn id="10" xr3:uid="{00000000-0010-0000-0000-00000A000000}" name="PRICE " totalsRowDxfId="19"/>
    <tableColumn id="11" xr3:uid="{00000000-0010-0000-0000-00000B000000}" name="AMOUNT " totalsRowFunction="sum" totalsRowDxfId="18"/>
    <tableColumn id="12" xr3:uid="{00000000-0010-0000-0000-00000C000000}" name="QUANTITY  " totalsRowDxfId="17"/>
    <tableColumn id="13" xr3:uid="{00000000-0010-0000-0000-00000D000000}" name="PRICE  " totalsRowDxfId="16"/>
    <tableColumn id="14" xr3:uid="{00000000-0010-0000-0000-00000E000000}" name="AMOUNT  " totalsRowFunction="sum" totalsRowDxfId="15"/>
    <tableColumn id="15" xr3:uid="{00000000-0010-0000-0000-00000F000000}" name="TOTAL" totalsRowFunction="sum" totalsRow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C2372-BD88-49F5-808E-66ED1AE47FE9}" name="Products" displayName="Products" ref="A1:F61" totalsRowShown="0" headerRowDxfId="9">
  <autoFilter ref="A1:F61" xr:uid="{40BC2372-BD88-49F5-808E-66ED1AE47FE9}"/>
  <tableColumns count="6">
    <tableColumn id="1" xr3:uid="{E8F4DFB0-EC56-4CBF-9F8C-23EDCA50F713}" name="ProductID" dataCellStyle="Normal 3"/>
    <tableColumn id="2" xr3:uid="{01A2DB73-B8C2-4A45-A7CC-94CB4A4A2FEF}" name="Product Name" dataDxfId="13" dataCellStyle="Comma 2"/>
    <tableColumn id="3" xr3:uid="{D7712E33-EC2C-4BBC-9183-D4083230AE51}" name="Category" dataCellStyle="Normal 3"/>
    <tableColumn id="4" xr3:uid="{10280736-93EE-4A73-97B0-1F59FABAB46F}" name="Cost/Unit" dataDxfId="12" dataCellStyle="Comma 2"/>
    <tableColumn id="5" xr3:uid="{AC22B57B-F391-4278-9CEA-6381C3C7599A}" name="Reorder Level" dataDxfId="11" dataCellStyle="Normal 3"/>
    <tableColumn id="6" xr3:uid="{ECE3A126-A7F6-4E8A-B4CA-AC1B78868DAB}" name="Supplier" dataDxfId="10" dataCellStyle="Normal 3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C4EC66-596A-4191-8AD5-8C56A2B0936F}" name="Transactions" displayName="Transactions" ref="A1:F61" totalsRowShown="0">
  <autoFilter ref="A1:F61" xr:uid="{03C4EC66-596A-4191-8AD5-8C56A2B0936F}"/>
  <tableColumns count="6">
    <tableColumn id="1" xr3:uid="{CF0FBA31-2E94-4135-8B0A-A8ADD4C1D54E}" name="TransID"/>
    <tableColumn id="2" xr3:uid="{EB83FE89-2487-49C6-80BE-246C3764EFC8}" name="Date" dataDxfId="7"/>
    <tableColumn id="3" xr3:uid="{FE85118D-4F73-4CC4-947F-D727DBCF045B}" name="ProductID"/>
    <tableColumn id="4" xr3:uid="{890FE897-5C0E-4846-94E3-254F9AB59CC8}" name="Site" dataDxfId="6"/>
    <tableColumn id="5" xr3:uid="{D5DF56AA-CF75-4D46-9133-AE66DE368857}" name="Quantity" dataDxfId="8"/>
    <tableColumn id="6" xr3:uid="{8D0BBA31-EE38-4A83-9E89-796952F75830}" name="Typ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DC87FD-A8D1-440B-BAC9-DE34E48E5936}" name="Inventory" displayName="Inventory" ref="A1:J61" totalsRowShown="0" headerRowCellStyle="Normal 9">
  <autoFilter ref="A1:J61" xr:uid="{A5DC87FD-A8D1-440B-BAC9-DE34E48E5936}"/>
  <tableColumns count="10">
    <tableColumn id="1" xr3:uid="{E8701318-3AEB-41C8-947D-8F382111F831}" name="Site" dataCellStyle="Normal 10"/>
    <tableColumn id="2" xr3:uid="{A8F9A49C-2A9D-43FA-9513-36E70E2B2700}" name="ProductID" dataCellStyle="Normal 10"/>
    <tableColumn id="3" xr3:uid="{DD7691E1-3B82-419A-A596-FD7160832936}" name="Product Description" dataDxfId="5">
      <calculatedColumnFormula>_xlfn.XLOOKUP(Inventory[[#This Row],[ProductID]],Products[ProductID],Products[Product Name],"Not Found")</calculatedColumnFormula>
    </tableColumn>
    <tableColumn id="4" xr3:uid="{3B6081B7-6D7B-40BA-B050-3F97A1DD80EA}" name="Supplier" dataDxfId="4">
      <calculatedColumnFormula>_xlfn.XLOOKUP(Inventory[[#This Row],[ProductID]],Products[ProductID],Products[Supplier],"Not Found")</calculatedColumnFormula>
    </tableColumn>
    <tableColumn id="5" xr3:uid="{8BF557DE-8E2B-4AE9-8A66-D281C045EF9F}" name="Cost/Unit" dataDxfId="3">
      <calculatedColumnFormula>_xlfn.XLOOKUP(Inventory[[#This Row],[ProductID]],Products[ProductID],Products[Cost/Unit],"Not Found")</calculatedColumnFormula>
    </tableColumn>
    <tableColumn id="6" xr3:uid="{82A09554-3010-4D9D-867D-4111E1CD453F}" name="Reorder Level" dataDxfId="2">
      <calculatedColumnFormula>_xlfn.XLOOKUP(Inventory[[#This Row],[ProductID]],Products[ProductID],Products[Reorder Level],"Not Found")</calculatedColumnFormula>
    </tableColumn>
    <tableColumn id="7" xr3:uid="{B0173CF8-A36E-441A-B27D-4CB13138DA80}" name="QuantityOnHand">
      <calculatedColumnFormula>SUMIFS(Transactions[Quantity],Transactions[ProductID],Inventory[[#This Row],[ProductID]],Transactions[Site],Inventory[[#This Row],[Site]])</calculatedColumnFormula>
    </tableColumn>
    <tableColumn id="8" xr3:uid="{F1713281-EF53-48D5-9D64-F33AD9F1106B}" name="Stock Value" dataDxfId="1">
      <calculatedColumnFormula>Inventory[[#This Row],[Cost/Unit]]*Inventory[[#This Row],[QuantityOnHand]]</calculatedColumnFormula>
    </tableColumn>
    <tableColumn id="9" xr3:uid="{1AD33891-BE48-4965-8EAA-F8F9DE5AFD47}" name="Reorder" dataDxfId="0">
      <calculatedColumnFormula>IF(Inventory[[#This Row],[QuantityOnHand]]&lt;=Inventory[[#This Row],[Reorder Level]],"Yes","No")</calculatedColumnFormula>
    </tableColumn>
    <tableColumn id="10" xr3:uid="{02298217-ED20-499A-84FA-6F2061FCCDF1}" name="Order Dat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C288F4-5D9A-4B75-B499-35B4E91EAF53}">
  <we:reference id="wa200005069" version="1.0.0.4" store="en-CA" storeType="OMEX"/>
  <we:alternateReferences>
    <we:reference id="wa200005069" version="1.0.0.4" store="WA2000050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outlinePr summaryBelow="0"/>
  </sheetPr>
  <dimension ref="A1:E53"/>
  <sheetViews>
    <sheetView workbookViewId="0">
      <selection activeCell="D13" sqref="D13"/>
    </sheetView>
  </sheetViews>
  <sheetFormatPr defaultRowHeight="14.25" x14ac:dyDescent="0.45"/>
  <cols>
    <col min="1" max="1" width="41.1328125" bestFit="1" customWidth="1"/>
    <col min="2" max="2" width="21.59765625" style="7" bestFit="1" customWidth="1"/>
    <col min="3" max="3" width="12.1328125" style="7" bestFit="1" customWidth="1"/>
    <col min="4" max="4" width="31" style="39" bestFit="1" customWidth="1"/>
    <col min="5" max="5" width="21.59765625" style="1" bestFit="1" customWidth="1"/>
  </cols>
  <sheetData>
    <row r="1" spans="1:5" ht="18.75" customHeight="1" x14ac:dyDescent="0.75">
      <c r="A1" s="29" t="s">
        <v>46</v>
      </c>
      <c r="B1" s="30"/>
      <c r="C1" s="30"/>
      <c r="D1" s="31"/>
    </row>
    <row r="2" spans="1:5" ht="18.75" customHeight="1" x14ac:dyDescent="0.75">
      <c r="A2" s="29"/>
      <c r="B2" s="30"/>
      <c r="C2" s="30"/>
      <c r="D2" s="31"/>
    </row>
    <row r="3" spans="1:5" ht="18.75" customHeight="1" x14ac:dyDescent="0.45">
      <c r="A3" s="32" t="s">
        <v>47</v>
      </c>
      <c r="B3" s="33" t="s">
        <v>48</v>
      </c>
      <c r="C3" s="33" t="s">
        <v>49</v>
      </c>
      <c r="D3" s="31"/>
    </row>
    <row r="4" spans="1:5" ht="18.75" customHeight="1" x14ac:dyDescent="0.45">
      <c r="A4" s="34" t="s">
        <v>50</v>
      </c>
      <c r="B4" s="35">
        <v>2020</v>
      </c>
      <c r="C4" s="36">
        <v>7192194</v>
      </c>
      <c r="D4" s="31"/>
    </row>
    <row r="5" spans="1:5" ht="18.75" customHeight="1" x14ac:dyDescent="0.45">
      <c r="A5" s="34"/>
      <c r="B5" s="30"/>
      <c r="C5" s="30"/>
      <c r="D5" s="31"/>
    </row>
    <row r="6" spans="1:5" ht="18.75" customHeight="1" x14ac:dyDescent="0.45">
      <c r="A6" s="34"/>
      <c r="B6" s="37">
        <v>2019</v>
      </c>
      <c r="C6" s="37">
        <v>2020</v>
      </c>
      <c r="D6" s="37">
        <v>2021</v>
      </c>
      <c r="E6" s="1" t="s">
        <v>51</v>
      </c>
    </row>
    <row r="7" spans="1:5" ht="18.75" customHeight="1" x14ac:dyDescent="0.45">
      <c r="A7" s="38" t="s">
        <v>52</v>
      </c>
      <c r="B7" s="36">
        <v>8374396</v>
      </c>
      <c r="C7" s="36">
        <v>1745205</v>
      </c>
      <c r="D7" s="36">
        <v>8218755</v>
      </c>
    </row>
    <row r="8" spans="1:5" ht="18.75" customHeight="1" x14ac:dyDescent="0.45">
      <c r="A8" s="38" t="s">
        <v>53</v>
      </c>
      <c r="B8" s="36">
        <v>7834228</v>
      </c>
      <c r="C8" s="36">
        <v>9362298</v>
      </c>
      <c r="D8" s="36">
        <v>6921299</v>
      </c>
    </row>
    <row r="9" spans="1:5" ht="18.75" customHeight="1" x14ac:dyDescent="0.45">
      <c r="A9" s="38" t="s">
        <v>54</v>
      </c>
      <c r="B9" s="36">
        <v>7774800</v>
      </c>
      <c r="C9" s="36">
        <v>5552945</v>
      </c>
      <c r="D9" s="36">
        <v>7012110</v>
      </c>
    </row>
    <row r="10" spans="1:5" ht="18.75" customHeight="1" x14ac:dyDescent="0.45">
      <c r="A10" s="38" t="s">
        <v>55</v>
      </c>
      <c r="B10" s="36">
        <v>2285551</v>
      </c>
      <c r="C10" s="36">
        <v>6008557</v>
      </c>
      <c r="D10" s="36">
        <v>7817326</v>
      </c>
    </row>
    <row r="11" spans="1:5" ht="18.75" customHeight="1" x14ac:dyDescent="0.45">
      <c r="A11" s="38" t="s">
        <v>50</v>
      </c>
      <c r="B11" s="36">
        <v>8808194</v>
      </c>
      <c r="C11" s="36">
        <v>7192194</v>
      </c>
      <c r="D11" s="36">
        <v>5865301</v>
      </c>
    </row>
    <row r="12" spans="1:5" ht="18.75" customHeight="1" x14ac:dyDescent="0.45">
      <c r="A12" s="38" t="s">
        <v>56</v>
      </c>
      <c r="B12" s="36">
        <v>9871733</v>
      </c>
      <c r="C12" s="36">
        <v>4234364</v>
      </c>
      <c r="D12" s="36">
        <v>1184328</v>
      </c>
    </row>
    <row r="13" spans="1:5" ht="18.75" customHeight="1" x14ac:dyDescent="0.45"/>
    <row r="14" spans="1:5" ht="18.75" customHeight="1" x14ac:dyDescent="0.45"/>
    <row r="15" spans="1:5" ht="18.75" customHeight="1" x14ac:dyDescent="0.65">
      <c r="A15" s="40" t="s">
        <v>57</v>
      </c>
      <c r="B15" s="41" t="s">
        <v>58</v>
      </c>
      <c r="C15" s="42"/>
      <c r="D15" s="43" t="s">
        <v>57</v>
      </c>
      <c r="E15" s="44" t="s">
        <v>58</v>
      </c>
    </row>
    <row r="16" spans="1:5" ht="18.75" customHeight="1" x14ac:dyDescent="0.65">
      <c r="A16" s="45" t="s">
        <v>26</v>
      </c>
      <c r="B16" s="46">
        <v>592.11</v>
      </c>
      <c r="C16" s="42"/>
      <c r="D16" s="47" t="s">
        <v>26</v>
      </c>
      <c r="E16" s="48">
        <f t="shared" ref="E16:E22" si="0">_xlfn.XLOOKUP(D16,A16:A35,B16:B35,0,0)</f>
        <v>592.11</v>
      </c>
    </row>
    <row r="17" spans="1:5" ht="18.75" customHeight="1" x14ac:dyDescent="0.65">
      <c r="A17" s="49" t="s">
        <v>43</v>
      </c>
      <c r="B17" s="50">
        <v>88.04</v>
      </c>
      <c r="C17" s="42"/>
      <c r="D17" s="51" t="s">
        <v>34</v>
      </c>
      <c r="E17" s="48">
        <f t="shared" si="0"/>
        <v>224.24</v>
      </c>
    </row>
    <row r="18" spans="1:5" ht="18.75" customHeight="1" x14ac:dyDescent="0.65">
      <c r="A18" s="45" t="s">
        <v>33</v>
      </c>
      <c r="B18" s="46">
        <v>248.45</v>
      </c>
      <c r="C18" s="42"/>
      <c r="D18" s="47" t="s">
        <v>44</v>
      </c>
      <c r="E18" s="48">
        <f t="shared" si="0"/>
        <v>112.93</v>
      </c>
    </row>
    <row r="19" spans="1:5" ht="18.75" customHeight="1" x14ac:dyDescent="0.65">
      <c r="A19" s="49" t="s">
        <v>34</v>
      </c>
      <c r="B19" s="50">
        <v>224.24</v>
      </c>
      <c r="C19" s="42"/>
      <c r="D19" s="51" t="s">
        <v>38</v>
      </c>
      <c r="E19" s="48">
        <f t="shared" si="0"/>
        <v>110.6</v>
      </c>
    </row>
    <row r="20" spans="1:5" ht="18.75" customHeight="1" x14ac:dyDescent="0.65">
      <c r="A20" s="45" t="s">
        <v>42</v>
      </c>
      <c r="B20" s="46">
        <v>290.83</v>
      </c>
      <c r="C20" s="42"/>
      <c r="D20" s="47" t="s">
        <v>31</v>
      </c>
      <c r="E20" s="48">
        <f t="shared" si="0"/>
        <v>349.58</v>
      </c>
    </row>
    <row r="21" spans="1:5" ht="18.75" customHeight="1" x14ac:dyDescent="0.65">
      <c r="A21" s="49" t="s">
        <v>40</v>
      </c>
      <c r="B21" s="50">
        <v>63.12</v>
      </c>
      <c r="C21" s="42"/>
      <c r="D21" s="51" t="s">
        <v>22</v>
      </c>
      <c r="E21" s="48">
        <f t="shared" si="0"/>
        <v>278.64999999999998</v>
      </c>
    </row>
    <row r="22" spans="1:5" ht="18.75" customHeight="1" x14ac:dyDescent="0.65">
      <c r="A22" s="45" t="s">
        <v>44</v>
      </c>
      <c r="B22" s="46">
        <v>112.93</v>
      </c>
      <c r="C22" s="42"/>
      <c r="D22" s="47" t="s">
        <v>59</v>
      </c>
      <c r="E22" s="52">
        <f t="shared" si="0"/>
        <v>0</v>
      </c>
    </row>
    <row r="23" spans="1:5" ht="18.75" customHeight="1" x14ac:dyDescent="0.65">
      <c r="A23" s="49" t="s">
        <v>41</v>
      </c>
      <c r="B23" s="50">
        <v>55.16</v>
      </c>
      <c r="C23" s="42"/>
      <c r="D23" s="53"/>
      <c r="E23" s="54"/>
    </row>
    <row r="24" spans="1:5" ht="18.75" customHeight="1" x14ac:dyDescent="0.65">
      <c r="A24" s="45" t="s">
        <v>30</v>
      </c>
      <c r="B24" s="46">
        <v>183.1</v>
      </c>
      <c r="C24" s="42"/>
      <c r="D24" s="53"/>
      <c r="E24" s="54"/>
    </row>
    <row r="25" spans="1:5" ht="18.75" customHeight="1" x14ac:dyDescent="0.65">
      <c r="A25" s="49" t="s">
        <v>38</v>
      </c>
      <c r="B25" s="50">
        <v>110.6</v>
      </c>
      <c r="C25" s="42"/>
      <c r="D25" s="53"/>
      <c r="E25" s="54"/>
    </row>
    <row r="26" spans="1:5" ht="18.75" customHeight="1" x14ac:dyDescent="0.65">
      <c r="A26" s="45" t="s">
        <v>28</v>
      </c>
      <c r="B26" s="46">
        <v>218.79</v>
      </c>
      <c r="C26" s="42"/>
      <c r="D26" s="53"/>
      <c r="E26" s="54"/>
    </row>
    <row r="27" spans="1:5" ht="18.75" customHeight="1" x14ac:dyDescent="0.65">
      <c r="A27" s="49" t="s">
        <v>36</v>
      </c>
      <c r="B27" s="50">
        <v>211.77</v>
      </c>
      <c r="C27" s="42"/>
      <c r="D27" s="53"/>
      <c r="E27" s="54"/>
    </row>
    <row r="28" spans="1:5" ht="18.75" customHeight="1" x14ac:dyDescent="0.65">
      <c r="A28" s="45" t="s">
        <v>29</v>
      </c>
      <c r="B28" s="46">
        <v>266.92</v>
      </c>
      <c r="C28" s="42"/>
      <c r="D28" s="53"/>
      <c r="E28" s="54"/>
    </row>
    <row r="29" spans="1:5" ht="18.75" customHeight="1" x14ac:dyDescent="0.65">
      <c r="A29" s="49" t="s">
        <v>27</v>
      </c>
      <c r="B29" s="50">
        <v>653.99</v>
      </c>
      <c r="C29" s="42"/>
      <c r="D29" s="53"/>
      <c r="E29" s="54"/>
    </row>
    <row r="30" spans="1:5" ht="18.75" customHeight="1" x14ac:dyDescent="0.65">
      <c r="A30" s="45" t="s">
        <v>31</v>
      </c>
      <c r="B30" s="46">
        <v>349.58</v>
      </c>
      <c r="C30" s="42"/>
      <c r="D30" s="53"/>
      <c r="E30" s="54"/>
    </row>
    <row r="31" spans="1:5" ht="18.75" customHeight="1" x14ac:dyDescent="0.65">
      <c r="A31" s="49" t="s">
        <v>20</v>
      </c>
      <c r="B31" s="50">
        <v>867.45</v>
      </c>
      <c r="C31" s="42"/>
      <c r="D31" s="53"/>
      <c r="E31" s="54"/>
    </row>
    <row r="32" spans="1:5" ht="18.75" customHeight="1" x14ac:dyDescent="0.65">
      <c r="A32" s="45" t="s">
        <v>24</v>
      </c>
      <c r="B32" s="46">
        <v>781.73</v>
      </c>
      <c r="C32" s="42"/>
      <c r="D32" s="53"/>
      <c r="E32" s="54"/>
    </row>
    <row r="33" spans="1:5" ht="18.75" customHeight="1" x14ac:dyDescent="0.65">
      <c r="A33" s="49" t="s">
        <v>22</v>
      </c>
      <c r="B33" s="50">
        <v>278.64999999999998</v>
      </c>
      <c r="C33" s="42"/>
      <c r="D33" s="53"/>
      <c r="E33" s="54"/>
    </row>
    <row r="34" spans="1:5" ht="18.75" customHeight="1" x14ac:dyDescent="0.65">
      <c r="A34" s="45" t="s">
        <v>32</v>
      </c>
      <c r="B34" s="46">
        <v>795.15</v>
      </c>
      <c r="C34" s="42"/>
      <c r="D34" s="55">
        <v>592.11</v>
      </c>
      <c r="E34" s="1" t="s">
        <v>26</v>
      </c>
    </row>
    <row r="35" spans="1:5" ht="18.75" customHeight="1" x14ac:dyDescent="0.65">
      <c r="A35" s="56" t="s">
        <v>39</v>
      </c>
      <c r="B35" s="57">
        <v>738.71</v>
      </c>
      <c r="C35" s="42"/>
      <c r="D35" s="55">
        <v>88.04</v>
      </c>
      <c r="E35" s="1" t="s">
        <v>43</v>
      </c>
    </row>
    <row r="36" spans="1:5" ht="18.75" customHeight="1" x14ac:dyDescent="0.45">
      <c r="D36" s="55">
        <v>248.45</v>
      </c>
      <c r="E36" s="1" t="s">
        <v>33</v>
      </c>
    </row>
    <row r="37" spans="1:5" ht="18.75" customHeight="1" x14ac:dyDescent="0.45">
      <c r="D37" s="55">
        <v>224.24</v>
      </c>
      <c r="E37" s="1" t="s">
        <v>34</v>
      </c>
    </row>
    <row r="38" spans="1:5" ht="18.75" customHeight="1" x14ac:dyDescent="0.45">
      <c r="D38" s="55">
        <v>290.83</v>
      </c>
      <c r="E38" s="1" t="s">
        <v>42</v>
      </c>
    </row>
    <row r="39" spans="1:5" ht="18.75" customHeight="1" x14ac:dyDescent="0.45">
      <c r="D39" s="55">
        <v>63.12</v>
      </c>
      <c r="E39" s="1" t="s">
        <v>40</v>
      </c>
    </row>
    <row r="40" spans="1:5" ht="18.75" customHeight="1" x14ac:dyDescent="0.45">
      <c r="D40" s="55">
        <v>112.93</v>
      </c>
      <c r="E40" s="1" t="s">
        <v>44</v>
      </c>
    </row>
    <row r="41" spans="1:5" ht="18.75" customHeight="1" x14ac:dyDescent="0.45">
      <c r="D41" s="55">
        <v>55.16</v>
      </c>
      <c r="E41" s="1" t="s">
        <v>41</v>
      </c>
    </row>
    <row r="42" spans="1:5" ht="18.75" customHeight="1" x14ac:dyDescent="0.45">
      <c r="D42" s="55">
        <v>183.1</v>
      </c>
      <c r="E42" s="1" t="s">
        <v>30</v>
      </c>
    </row>
    <row r="43" spans="1:5" ht="18.75" customHeight="1" x14ac:dyDescent="0.45">
      <c r="D43" s="55">
        <v>110.6</v>
      </c>
      <c r="E43" s="1" t="s">
        <v>38</v>
      </c>
    </row>
    <row r="44" spans="1:5" ht="18.75" customHeight="1" x14ac:dyDescent="0.45">
      <c r="D44" s="55">
        <v>218.79</v>
      </c>
      <c r="E44" s="1" t="s">
        <v>28</v>
      </c>
    </row>
    <row r="45" spans="1:5" ht="18.75" customHeight="1" x14ac:dyDescent="0.45">
      <c r="D45" s="55">
        <v>211.77</v>
      </c>
      <c r="E45" s="1" t="s">
        <v>36</v>
      </c>
    </row>
    <row r="46" spans="1:5" ht="18.75" customHeight="1" x14ac:dyDescent="0.45">
      <c r="D46" s="55">
        <v>266.92</v>
      </c>
      <c r="E46" s="1" t="s">
        <v>29</v>
      </c>
    </row>
    <row r="47" spans="1:5" ht="18.75" customHeight="1" x14ac:dyDescent="0.45">
      <c r="D47" s="55">
        <v>653.99</v>
      </c>
      <c r="E47" s="1" t="s">
        <v>27</v>
      </c>
    </row>
    <row r="48" spans="1:5" ht="18.75" customHeight="1" x14ac:dyDescent="0.45">
      <c r="D48" s="55">
        <v>349.58</v>
      </c>
      <c r="E48" s="1" t="s">
        <v>31</v>
      </c>
    </row>
    <row r="49" spans="4:5" ht="18.75" customHeight="1" x14ac:dyDescent="0.45">
      <c r="D49" s="55">
        <v>867.45</v>
      </c>
      <c r="E49" s="1" t="s">
        <v>20</v>
      </c>
    </row>
    <row r="50" spans="4:5" ht="18.75" customHeight="1" x14ac:dyDescent="0.45">
      <c r="D50" s="55">
        <v>781.73</v>
      </c>
      <c r="E50" s="1" t="s">
        <v>24</v>
      </c>
    </row>
    <row r="51" spans="4:5" ht="18.75" customHeight="1" x14ac:dyDescent="0.45">
      <c r="D51" s="55">
        <v>278.64999999999998</v>
      </c>
      <c r="E51" s="1" t="s">
        <v>22</v>
      </c>
    </row>
    <row r="52" spans="4:5" ht="18.75" customHeight="1" x14ac:dyDescent="0.45">
      <c r="D52" s="55">
        <v>795.15</v>
      </c>
      <c r="E52" s="1" t="s">
        <v>32</v>
      </c>
    </row>
    <row r="53" spans="4:5" ht="18.75" customHeight="1" x14ac:dyDescent="0.45">
      <c r="D53" s="55">
        <v>738.71</v>
      </c>
      <c r="E53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outlinePr summaryBelow="0"/>
  </sheetPr>
  <dimension ref="C1:Q31"/>
  <sheetViews>
    <sheetView workbookViewId="0">
      <pane ySplit="4" topLeftCell="A5" activePane="bottomLeft" state="frozen"/>
      <selection pane="bottomLeft" activeCell="D13" sqref="D13"/>
    </sheetView>
  </sheetViews>
  <sheetFormatPr defaultRowHeight="14.25" x14ac:dyDescent="0.45"/>
  <cols>
    <col min="1" max="2" width="13.59765625" bestFit="1" customWidth="1"/>
    <col min="3" max="3" width="7.73046875" style="1" bestFit="1" customWidth="1"/>
    <col min="4" max="4" width="16.3984375" style="2" bestFit="1" customWidth="1"/>
    <col min="5" max="5" width="14" style="3" bestFit="1" customWidth="1"/>
    <col min="6" max="6" width="14" style="2" bestFit="1" customWidth="1"/>
    <col min="7" max="7" width="15.265625" style="4" bestFit="1" customWidth="1"/>
    <col min="8" max="8" width="12.1328125" style="5" bestFit="1" customWidth="1"/>
    <col min="9" max="9" width="10.59765625" style="6" bestFit="1" customWidth="1"/>
    <col min="10" max="10" width="13.1328125" style="6" bestFit="1" customWidth="1"/>
    <col min="11" max="11" width="11.73046875" style="1" bestFit="1" customWidth="1"/>
    <col min="12" max="12" width="12.86328125" style="7" bestFit="1" customWidth="1"/>
    <col min="13" max="13" width="15.3984375" style="6" bestFit="1" customWidth="1"/>
    <col min="14" max="14" width="12.265625" style="1" bestFit="1" customWidth="1"/>
    <col min="15" max="15" width="10.265625" style="7" bestFit="1" customWidth="1"/>
    <col min="16" max="16" width="14.1328125" style="6" bestFit="1" customWidth="1"/>
    <col min="17" max="17" width="14.73046875" style="6" bestFit="1" customWidth="1"/>
  </cols>
  <sheetData>
    <row r="1" spans="3:17" ht="18.75" customHeight="1" x14ac:dyDescent="0.45"/>
    <row r="2" spans="3:17" ht="43.5" customHeight="1" x14ac:dyDescent="0.85">
      <c r="C2" s="58" t="s">
        <v>0</v>
      </c>
      <c r="D2" s="59"/>
      <c r="E2" s="60"/>
      <c r="F2" s="59"/>
      <c r="G2" s="61"/>
      <c r="H2" s="58"/>
      <c r="I2" s="62"/>
      <c r="J2" s="62"/>
      <c r="K2" s="58"/>
      <c r="L2" s="62"/>
      <c r="M2" s="62"/>
      <c r="N2" s="58"/>
      <c r="O2" s="62"/>
      <c r="P2" s="62"/>
      <c r="Q2" s="62"/>
    </row>
    <row r="3" spans="3:17" s="2" customFormat="1" ht="24" customHeight="1" x14ac:dyDescent="0.65">
      <c r="C3" s="8"/>
      <c r="D3" s="9"/>
      <c r="E3" s="8"/>
      <c r="F3" s="9"/>
      <c r="G3" s="10"/>
      <c r="H3" s="11" t="s">
        <v>1</v>
      </c>
      <c r="I3" s="12"/>
      <c r="J3" s="12"/>
      <c r="K3" s="63" t="s">
        <v>2</v>
      </c>
      <c r="L3" s="64"/>
      <c r="M3" s="64"/>
      <c r="N3" s="63" t="s">
        <v>3</v>
      </c>
      <c r="O3" s="64"/>
      <c r="P3" s="64"/>
      <c r="Q3" s="13" t="s">
        <v>4</v>
      </c>
    </row>
    <row r="4" spans="3:17" s="2" customFormat="1" ht="27.75" customHeight="1" x14ac:dyDescent="0.45">
      <c r="C4" s="14" t="s">
        <v>5</v>
      </c>
      <c r="D4" s="15" t="s">
        <v>6</v>
      </c>
      <c r="E4" s="14" t="s">
        <v>7</v>
      </c>
      <c r="F4" s="15" t="s">
        <v>8</v>
      </c>
      <c r="G4" s="16" t="s">
        <v>9</v>
      </c>
      <c r="H4" s="14" t="s">
        <v>10</v>
      </c>
      <c r="I4" s="17" t="s">
        <v>11</v>
      </c>
      <c r="J4" s="17" t="s">
        <v>12</v>
      </c>
      <c r="K4" s="14" t="s">
        <v>13</v>
      </c>
      <c r="L4" s="17" t="s">
        <v>14</v>
      </c>
      <c r="M4" s="17" t="s">
        <v>15</v>
      </c>
      <c r="N4" s="14" t="s">
        <v>16</v>
      </c>
      <c r="O4" s="17" t="s">
        <v>17</v>
      </c>
      <c r="P4" s="17" t="s">
        <v>18</v>
      </c>
      <c r="Q4" s="17" t="s">
        <v>19</v>
      </c>
    </row>
    <row r="5" spans="3:17" ht="38.75" customHeight="1" x14ac:dyDescent="0.45">
      <c r="C5" s="18">
        <f t="shared" ref="C5:C30" si="0">ROW()-4</f>
        <v>1</v>
      </c>
      <c r="D5" s="15" t="s">
        <v>20</v>
      </c>
      <c r="E5" s="19">
        <v>42</v>
      </c>
      <c r="F5" s="15" t="s">
        <v>21</v>
      </c>
      <c r="G5" s="16">
        <v>46062</v>
      </c>
      <c r="H5" s="18">
        <v>52</v>
      </c>
      <c r="I5" s="20">
        <v>867.45</v>
      </c>
      <c r="J5" s="20">
        <f t="shared" ref="J5:J30" si="1">H5*I5</f>
        <v>45107.4</v>
      </c>
      <c r="K5" s="18">
        <v>85</v>
      </c>
      <c r="L5" s="20">
        <v>867.45</v>
      </c>
      <c r="M5" s="20">
        <f t="shared" ref="M5:M30" si="2">K5*L5</f>
        <v>73733.25</v>
      </c>
      <c r="N5" s="18">
        <v>83</v>
      </c>
      <c r="O5" s="20">
        <v>1000</v>
      </c>
      <c r="P5" s="20">
        <f t="shared" ref="P5:P30" si="3">N5*O5</f>
        <v>83000</v>
      </c>
      <c r="Q5" s="20">
        <f t="shared" ref="Q5:Q30" si="4">J5+M5+P5</f>
        <v>201840.65</v>
      </c>
    </row>
    <row r="6" spans="3:17" ht="38.75" customHeight="1" x14ac:dyDescent="0.45">
      <c r="C6" s="18">
        <f t="shared" si="0"/>
        <v>2</v>
      </c>
      <c r="D6" s="15" t="s">
        <v>22</v>
      </c>
      <c r="E6" s="19">
        <v>290</v>
      </c>
      <c r="F6" s="15" t="s">
        <v>23</v>
      </c>
      <c r="G6" s="16">
        <v>404</v>
      </c>
      <c r="H6" s="18">
        <v>1</v>
      </c>
      <c r="I6" s="20">
        <v>278.64999999999998</v>
      </c>
      <c r="J6" s="20">
        <f t="shared" si="1"/>
        <v>278.64999999999998</v>
      </c>
      <c r="K6" s="18">
        <v>65</v>
      </c>
      <c r="L6" s="20">
        <v>278.64999999999998</v>
      </c>
      <c r="M6" s="20">
        <f t="shared" si="2"/>
        <v>18112.25</v>
      </c>
      <c r="N6" s="18">
        <v>147</v>
      </c>
      <c r="O6" s="20">
        <v>691</v>
      </c>
      <c r="P6" s="20">
        <f t="shared" si="3"/>
        <v>101577</v>
      </c>
      <c r="Q6" s="20">
        <f t="shared" si="4"/>
        <v>119967.9</v>
      </c>
    </row>
    <row r="7" spans="3:17" ht="38.75" customHeight="1" x14ac:dyDescent="0.45">
      <c r="C7" s="18">
        <f t="shared" si="0"/>
        <v>3</v>
      </c>
      <c r="D7" s="15" t="s">
        <v>24</v>
      </c>
      <c r="E7" s="19">
        <v>70</v>
      </c>
      <c r="F7" s="15" t="s">
        <v>25</v>
      </c>
      <c r="G7" s="16">
        <v>46116</v>
      </c>
      <c r="H7" s="18">
        <v>68</v>
      </c>
      <c r="I7" s="20">
        <v>781.73</v>
      </c>
      <c r="J7" s="20">
        <f t="shared" si="1"/>
        <v>53157.64</v>
      </c>
      <c r="K7" s="18">
        <v>7</v>
      </c>
      <c r="L7" s="20">
        <v>781.73</v>
      </c>
      <c r="M7" s="20">
        <f t="shared" si="2"/>
        <v>5472.1100000000006</v>
      </c>
      <c r="N7" s="18">
        <v>55</v>
      </c>
      <c r="O7" s="20">
        <v>479</v>
      </c>
      <c r="P7" s="20">
        <f t="shared" si="3"/>
        <v>26345</v>
      </c>
      <c r="Q7" s="20">
        <f t="shared" si="4"/>
        <v>84974.75</v>
      </c>
    </row>
    <row r="8" spans="3:17" ht="38.75" customHeight="1" x14ac:dyDescent="0.45">
      <c r="C8" s="18">
        <f t="shared" si="0"/>
        <v>4</v>
      </c>
      <c r="D8" s="15" t="s">
        <v>26</v>
      </c>
      <c r="E8" s="19">
        <v>50</v>
      </c>
      <c r="F8" s="15"/>
      <c r="G8" s="16">
        <v>46057</v>
      </c>
      <c r="H8" s="18">
        <v>6</v>
      </c>
      <c r="I8" s="20">
        <v>592.11</v>
      </c>
      <c r="J8" s="20">
        <f t="shared" si="1"/>
        <v>3552.66</v>
      </c>
      <c r="K8" s="18">
        <v>59</v>
      </c>
      <c r="L8" s="20">
        <v>592.11</v>
      </c>
      <c r="M8" s="20">
        <f t="shared" si="2"/>
        <v>34934.49</v>
      </c>
      <c r="N8" s="18">
        <v>61</v>
      </c>
      <c r="O8" s="20">
        <v>492.11</v>
      </c>
      <c r="P8" s="20">
        <f t="shared" si="3"/>
        <v>30018.71</v>
      </c>
      <c r="Q8" s="20">
        <f t="shared" si="4"/>
        <v>68505.859999999986</v>
      </c>
    </row>
    <row r="9" spans="3:17" ht="18.75" hidden="1" customHeight="1" x14ac:dyDescent="0.45">
      <c r="C9" s="18">
        <f t="shared" si="0"/>
        <v>5</v>
      </c>
      <c r="D9" s="15" t="s">
        <v>27</v>
      </c>
      <c r="E9" s="19">
        <v>210</v>
      </c>
      <c r="F9" s="15"/>
      <c r="G9" s="16"/>
      <c r="H9" s="18">
        <v>37</v>
      </c>
      <c r="I9" s="20">
        <v>653.99</v>
      </c>
      <c r="J9" s="20">
        <f t="shared" si="1"/>
        <v>24197.63</v>
      </c>
      <c r="K9" s="18">
        <v>6</v>
      </c>
      <c r="L9" s="20">
        <v>653.99</v>
      </c>
      <c r="M9" s="20">
        <f t="shared" si="2"/>
        <v>3923.94</v>
      </c>
      <c r="N9" s="18">
        <v>43</v>
      </c>
      <c r="O9" s="20">
        <v>753.99</v>
      </c>
      <c r="P9" s="20">
        <f t="shared" si="3"/>
        <v>32421.57</v>
      </c>
      <c r="Q9" s="20">
        <f t="shared" si="4"/>
        <v>60543.14</v>
      </c>
    </row>
    <row r="10" spans="3:17" ht="38.75" customHeight="1" x14ac:dyDescent="0.45">
      <c r="C10" s="18">
        <f t="shared" si="0"/>
        <v>6</v>
      </c>
      <c r="D10" s="15" t="s">
        <v>28</v>
      </c>
      <c r="E10" s="19">
        <v>150</v>
      </c>
      <c r="F10" s="15"/>
      <c r="G10" s="16"/>
      <c r="H10" s="18">
        <v>19</v>
      </c>
      <c r="I10" s="20">
        <v>218.79</v>
      </c>
      <c r="J10" s="20">
        <f t="shared" si="1"/>
        <v>4157.01</v>
      </c>
      <c r="K10" s="18">
        <v>79</v>
      </c>
      <c r="L10" s="20">
        <v>218.79</v>
      </c>
      <c r="M10" s="20">
        <f t="shared" si="2"/>
        <v>17284.41</v>
      </c>
      <c r="N10" s="18">
        <v>55</v>
      </c>
      <c r="O10" s="20">
        <v>518.79</v>
      </c>
      <c r="P10" s="20">
        <f t="shared" si="3"/>
        <v>28533.449999999997</v>
      </c>
      <c r="Q10" s="20">
        <f t="shared" si="4"/>
        <v>49974.869999999995</v>
      </c>
    </row>
    <row r="11" spans="3:17" ht="38.75" customHeight="1" x14ac:dyDescent="0.45">
      <c r="C11" s="18">
        <f t="shared" si="0"/>
        <v>7</v>
      </c>
      <c r="D11" s="15" t="s">
        <v>29</v>
      </c>
      <c r="E11" s="19">
        <v>90</v>
      </c>
      <c r="F11" s="15"/>
      <c r="G11" s="16"/>
      <c r="H11" s="18">
        <v>31</v>
      </c>
      <c r="I11" s="20">
        <v>266.92</v>
      </c>
      <c r="J11" s="20">
        <f t="shared" si="1"/>
        <v>8274.52</v>
      </c>
      <c r="K11" s="18">
        <v>9</v>
      </c>
      <c r="L11" s="20">
        <v>266.92</v>
      </c>
      <c r="M11" s="20">
        <f t="shared" si="2"/>
        <v>2402.2800000000002</v>
      </c>
      <c r="N11" s="18">
        <v>67</v>
      </c>
      <c r="O11" s="20">
        <v>556.91999999999996</v>
      </c>
      <c r="P11" s="20">
        <f t="shared" si="3"/>
        <v>37313.64</v>
      </c>
      <c r="Q11" s="20">
        <f t="shared" si="4"/>
        <v>47990.44</v>
      </c>
    </row>
    <row r="12" spans="3:17" ht="38.75" customHeight="1" x14ac:dyDescent="0.45">
      <c r="C12" s="18">
        <f t="shared" si="0"/>
        <v>8</v>
      </c>
      <c r="D12" s="15" t="s">
        <v>30</v>
      </c>
      <c r="E12" s="19">
        <v>110</v>
      </c>
      <c r="F12" s="15"/>
      <c r="G12" s="16"/>
      <c r="H12" s="18">
        <v>3</v>
      </c>
      <c r="I12" s="20">
        <v>183.1</v>
      </c>
      <c r="J12" s="20">
        <f t="shared" si="1"/>
        <v>549.29999999999995</v>
      </c>
      <c r="K12" s="18">
        <v>183</v>
      </c>
      <c r="L12" s="20">
        <v>183.1</v>
      </c>
      <c r="M12" s="20">
        <f t="shared" si="2"/>
        <v>33507.299999999996</v>
      </c>
      <c r="N12" s="18">
        <v>8</v>
      </c>
      <c r="O12" s="20">
        <v>183</v>
      </c>
      <c r="P12" s="20">
        <f t="shared" si="3"/>
        <v>1464</v>
      </c>
      <c r="Q12" s="20">
        <f t="shared" si="4"/>
        <v>35520.6</v>
      </c>
    </row>
    <row r="13" spans="3:17" ht="38.75" customHeight="1" x14ac:dyDescent="0.45">
      <c r="C13" s="18">
        <f t="shared" si="0"/>
        <v>9</v>
      </c>
      <c r="D13" s="15" t="s">
        <v>31</v>
      </c>
      <c r="E13" s="19">
        <v>230</v>
      </c>
      <c r="F13" s="15"/>
      <c r="G13" s="16"/>
      <c r="H13" s="18">
        <v>45</v>
      </c>
      <c r="I13" s="20">
        <v>349.58</v>
      </c>
      <c r="J13" s="20">
        <f t="shared" si="1"/>
        <v>15731.099999999999</v>
      </c>
      <c r="K13" s="18">
        <v>0</v>
      </c>
      <c r="L13" s="20">
        <v>349.58</v>
      </c>
      <c r="M13" s="20">
        <f t="shared" si="2"/>
        <v>0</v>
      </c>
      <c r="N13" s="18">
        <v>13</v>
      </c>
      <c r="O13" s="20">
        <v>949.58</v>
      </c>
      <c r="P13" s="20">
        <f t="shared" si="3"/>
        <v>12344.54</v>
      </c>
      <c r="Q13" s="20">
        <f t="shared" si="4"/>
        <v>28075.64</v>
      </c>
    </row>
    <row r="14" spans="3:17" ht="38.75" customHeight="1" x14ac:dyDescent="0.45">
      <c r="C14" s="18">
        <f t="shared" si="0"/>
        <v>10</v>
      </c>
      <c r="D14" s="15" t="s">
        <v>32</v>
      </c>
      <c r="E14" s="19">
        <v>31</v>
      </c>
      <c r="F14" s="15"/>
      <c r="G14" s="16"/>
      <c r="H14" s="18">
        <v>3</v>
      </c>
      <c r="I14" s="20">
        <v>795.15</v>
      </c>
      <c r="J14" s="20">
        <f t="shared" si="1"/>
        <v>2385.4499999999998</v>
      </c>
      <c r="K14" s="18">
        <v>15</v>
      </c>
      <c r="L14" s="20">
        <v>795.15</v>
      </c>
      <c r="M14" s="20">
        <f t="shared" si="2"/>
        <v>11927.25</v>
      </c>
      <c r="N14" s="18">
        <v>57</v>
      </c>
      <c r="O14" s="20">
        <v>234.87</v>
      </c>
      <c r="P14" s="20">
        <f t="shared" si="3"/>
        <v>13387.59</v>
      </c>
      <c r="Q14" s="20">
        <f t="shared" si="4"/>
        <v>27700.29</v>
      </c>
    </row>
    <row r="15" spans="3:17" ht="38.75" customHeight="1" x14ac:dyDescent="0.45">
      <c r="C15" s="18">
        <f t="shared" si="0"/>
        <v>11</v>
      </c>
      <c r="D15" s="15" t="s">
        <v>33</v>
      </c>
      <c r="E15" s="19">
        <v>10</v>
      </c>
      <c r="F15" s="15"/>
      <c r="G15" s="16">
        <v>46267</v>
      </c>
      <c r="H15" s="18">
        <v>66</v>
      </c>
      <c r="I15" s="20">
        <v>248.45</v>
      </c>
      <c r="J15" s="20">
        <f t="shared" si="1"/>
        <v>16397.7</v>
      </c>
      <c r="K15" s="18">
        <v>24</v>
      </c>
      <c r="L15" s="20">
        <v>248.45</v>
      </c>
      <c r="M15" s="20">
        <f t="shared" si="2"/>
        <v>5962.7999999999993</v>
      </c>
      <c r="N15" s="18">
        <v>4</v>
      </c>
      <c r="O15" s="20">
        <v>248.15</v>
      </c>
      <c r="P15" s="20">
        <f t="shared" si="3"/>
        <v>992.6</v>
      </c>
      <c r="Q15" s="20">
        <f t="shared" si="4"/>
        <v>23353.1</v>
      </c>
    </row>
    <row r="16" spans="3:17" ht="38.75" customHeight="1" x14ac:dyDescent="0.45">
      <c r="C16" s="18">
        <f t="shared" si="0"/>
        <v>12</v>
      </c>
      <c r="D16" s="15" t="s">
        <v>34</v>
      </c>
      <c r="E16" s="19">
        <v>10</v>
      </c>
      <c r="F16" s="15" t="s">
        <v>35</v>
      </c>
      <c r="G16" s="16">
        <v>46259</v>
      </c>
      <c r="H16" s="18">
        <v>22</v>
      </c>
      <c r="I16" s="20">
        <v>224.24</v>
      </c>
      <c r="J16" s="20">
        <f t="shared" si="1"/>
        <v>4933.2800000000007</v>
      </c>
      <c r="K16" s="18">
        <v>22</v>
      </c>
      <c r="L16" s="20">
        <v>224.24</v>
      </c>
      <c r="M16" s="20">
        <f t="shared" si="2"/>
        <v>4933.2800000000007</v>
      </c>
      <c r="N16" s="18">
        <v>44</v>
      </c>
      <c r="O16" s="20">
        <v>224.2</v>
      </c>
      <c r="P16" s="20">
        <f t="shared" si="3"/>
        <v>9864.7999999999993</v>
      </c>
      <c r="Q16" s="20">
        <f t="shared" si="4"/>
        <v>19731.36</v>
      </c>
    </row>
    <row r="17" spans="3:17" ht="38.75" customHeight="1" x14ac:dyDescent="0.45">
      <c r="C17" s="18">
        <f t="shared" si="0"/>
        <v>13</v>
      </c>
      <c r="D17" s="15" t="s">
        <v>36</v>
      </c>
      <c r="E17" s="19">
        <v>170</v>
      </c>
      <c r="F17" s="15" t="s">
        <v>37</v>
      </c>
      <c r="G17" s="16">
        <v>46259</v>
      </c>
      <c r="H17" s="18">
        <v>8</v>
      </c>
      <c r="I17" s="20">
        <v>211.77</v>
      </c>
      <c r="J17" s="20">
        <f t="shared" si="1"/>
        <v>1694.16</v>
      </c>
      <c r="K17" s="18">
        <v>7</v>
      </c>
      <c r="L17" s="20">
        <v>211.77</v>
      </c>
      <c r="M17" s="20">
        <f t="shared" si="2"/>
        <v>1482.39</v>
      </c>
      <c r="N17" s="18">
        <v>42</v>
      </c>
      <c r="O17" s="20">
        <v>291.77</v>
      </c>
      <c r="P17" s="20">
        <f t="shared" si="3"/>
        <v>12254.34</v>
      </c>
      <c r="Q17" s="20">
        <f t="shared" si="4"/>
        <v>15430.89</v>
      </c>
    </row>
    <row r="18" spans="3:17" ht="38.75" customHeight="1" x14ac:dyDescent="0.45">
      <c r="C18" s="18">
        <f t="shared" si="0"/>
        <v>14</v>
      </c>
      <c r="D18" s="15" t="s">
        <v>38</v>
      </c>
      <c r="E18" s="19">
        <v>130</v>
      </c>
      <c r="F18" s="15"/>
      <c r="G18" s="16">
        <v>46259</v>
      </c>
      <c r="H18" s="18">
        <v>12</v>
      </c>
      <c r="I18" s="20">
        <v>110.6</v>
      </c>
      <c r="J18" s="20">
        <f t="shared" si="1"/>
        <v>1327.1999999999998</v>
      </c>
      <c r="K18" s="18">
        <v>110</v>
      </c>
      <c r="L18" s="20">
        <v>110.6</v>
      </c>
      <c r="M18" s="20">
        <f t="shared" si="2"/>
        <v>12166</v>
      </c>
      <c r="N18" s="21"/>
      <c r="O18" s="20">
        <v>108.6</v>
      </c>
      <c r="P18" s="20">
        <f t="shared" si="3"/>
        <v>0</v>
      </c>
      <c r="Q18" s="20">
        <f t="shared" si="4"/>
        <v>13493.2</v>
      </c>
    </row>
    <row r="19" spans="3:17" ht="38.75" customHeight="1" x14ac:dyDescent="0.45">
      <c r="C19" s="18">
        <f t="shared" si="0"/>
        <v>15</v>
      </c>
      <c r="D19" s="15" t="s">
        <v>39</v>
      </c>
      <c r="E19" s="19">
        <v>30</v>
      </c>
      <c r="F19" s="15"/>
      <c r="G19" s="16">
        <v>825</v>
      </c>
      <c r="H19" s="18">
        <v>2</v>
      </c>
      <c r="I19" s="20">
        <v>738.71</v>
      </c>
      <c r="J19" s="20">
        <f t="shared" si="1"/>
        <v>1477.42</v>
      </c>
      <c r="K19" s="18">
        <v>10</v>
      </c>
      <c r="L19" s="20">
        <v>738.71</v>
      </c>
      <c r="M19" s="20">
        <f t="shared" si="2"/>
        <v>7387.1</v>
      </c>
      <c r="N19" s="18">
        <v>0</v>
      </c>
      <c r="O19" s="20">
        <v>10</v>
      </c>
      <c r="P19" s="20">
        <f t="shared" si="3"/>
        <v>0</v>
      </c>
      <c r="Q19" s="20">
        <f t="shared" si="4"/>
        <v>8864.52</v>
      </c>
    </row>
    <row r="20" spans="3:17" ht="38.75" customHeight="1" x14ac:dyDescent="0.45">
      <c r="C20" s="18">
        <f t="shared" si="0"/>
        <v>16</v>
      </c>
      <c r="D20" s="15" t="s">
        <v>40</v>
      </c>
      <c r="E20" s="19">
        <v>50</v>
      </c>
      <c r="F20" s="15"/>
      <c r="G20" s="16">
        <v>912</v>
      </c>
      <c r="H20" s="18">
        <v>4</v>
      </c>
      <c r="I20" s="20">
        <v>63.12</v>
      </c>
      <c r="J20" s="20">
        <f t="shared" si="1"/>
        <v>252.48</v>
      </c>
      <c r="K20" s="18">
        <v>63</v>
      </c>
      <c r="L20" s="20">
        <v>63.12</v>
      </c>
      <c r="M20" s="20">
        <f t="shared" si="2"/>
        <v>3976.56</v>
      </c>
      <c r="N20" s="18">
        <v>7</v>
      </c>
      <c r="O20" s="20">
        <v>43.12</v>
      </c>
      <c r="P20" s="20">
        <f t="shared" si="3"/>
        <v>301.83999999999997</v>
      </c>
      <c r="Q20" s="20">
        <f t="shared" si="4"/>
        <v>4530.88</v>
      </c>
    </row>
    <row r="21" spans="3:17" ht="38.75" customHeight="1" x14ac:dyDescent="0.45">
      <c r="C21" s="18">
        <f t="shared" si="0"/>
        <v>17</v>
      </c>
      <c r="D21" s="15" t="s">
        <v>41</v>
      </c>
      <c r="E21" s="19">
        <v>90</v>
      </c>
      <c r="F21" s="15"/>
      <c r="G21" s="16">
        <v>46</v>
      </c>
      <c r="H21" s="18">
        <v>47</v>
      </c>
      <c r="I21" s="20">
        <v>55.16</v>
      </c>
      <c r="J21" s="20">
        <f t="shared" si="1"/>
        <v>2592.52</v>
      </c>
      <c r="K21" s="18">
        <v>5</v>
      </c>
      <c r="L21" s="20">
        <v>55.16</v>
      </c>
      <c r="M21" s="20">
        <f t="shared" si="2"/>
        <v>275.79999999999995</v>
      </c>
      <c r="N21" s="18">
        <v>7</v>
      </c>
      <c r="O21" s="20">
        <v>52.16</v>
      </c>
      <c r="P21" s="20">
        <f t="shared" si="3"/>
        <v>365.12</v>
      </c>
      <c r="Q21" s="20">
        <f t="shared" si="4"/>
        <v>3233.4399999999996</v>
      </c>
    </row>
    <row r="22" spans="3:17" ht="38.75" customHeight="1" x14ac:dyDescent="0.45">
      <c r="C22" s="18">
        <f t="shared" si="0"/>
        <v>18</v>
      </c>
      <c r="D22" s="15" t="s">
        <v>42</v>
      </c>
      <c r="E22" s="19">
        <v>30</v>
      </c>
      <c r="F22" s="15"/>
      <c r="G22" s="16">
        <v>404</v>
      </c>
      <c r="H22" s="18">
        <v>7</v>
      </c>
      <c r="I22" s="20">
        <v>290.83</v>
      </c>
      <c r="J22" s="20">
        <f t="shared" si="1"/>
        <v>2035.81</v>
      </c>
      <c r="K22" s="18">
        <v>2</v>
      </c>
      <c r="L22" s="20">
        <v>290.83</v>
      </c>
      <c r="M22" s="20">
        <f t="shared" si="2"/>
        <v>581.66</v>
      </c>
      <c r="N22" s="18">
        <v>5</v>
      </c>
      <c r="O22" s="20">
        <v>90.83</v>
      </c>
      <c r="P22" s="20">
        <f t="shared" si="3"/>
        <v>454.15</v>
      </c>
      <c r="Q22" s="20">
        <f t="shared" si="4"/>
        <v>3071.62</v>
      </c>
    </row>
    <row r="23" spans="3:17" ht="38.75" customHeight="1" x14ac:dyDescent="0.45">
      <c r="C23" s="18">
        <f t="shared" si="0"/>
        <v>19</v>
      </c>
      <c r="D23" s="15" t="s">
        <v>43</v>
      </c>
      <c r="E23" s="19">
        <v>30</v>
      </c>
      <c r="F23" s="15"/>
      <c r="G23" s="16">
        <v>45</v>
      </c>
      <c r="H23" s="18">
        <v>3</v>
      </c>
      <c r="I23" s="20">
        <v>88.04</v>
      </c>
      <c r="J23" s="20">
        <f t="shared" si="1"/>
        <v>264.12</v>
      </c>
      <c r="K23" s="18">
        <v>8</v>
      </c>
      <c r="L23" s="20">
        <v>88.04</v>
      </c>
      <c r="M23" s="20">
        <f t="shared" si="2"/>
        <v>704.32</v>
      </c>
      <c r="N23" s="18">
        <v>23</v>
      </c>
      <c r="O23" s="20">
        <v>86.04</v>
      </c>
      <c r="P23" s="20">
        <f t="shared" si="3"/>
        <v>1978.92</v>
      </c>
      <c r="Q23" s="20">
        <f t="shared" si="4"/>
        <v>2947.36</v>
      </c>
    </row>
    <row r="24" spans="3:17" ht="38.75" customHeight="1" x14ac:dyDescent="0.45">
      <c r="C24" s="18">
        <f t="shared" si="0"/>
        <v>20</v>
      </c>
      <c r="D24" s="15" t="s">
        <v>44</v>
      </c>
      <c r="E24" s="19">
        <v>70</v>
      </c>
      <c r="F24" s="15"/>
      <c r="G24" s="16">
        <v>413</v>
      </c>
      <c r="H24" s="18">
        <v>4</v>
      </c>
      <c r="I24" s="20">
        <v>112.93</v>
      </c>
      <c r="J24" s="20">
        <f t="shared" si="1"/>
        <v>451.72</v>
      </c>
      <c r="K24" s="18">
        <v>11</v>
      </c>
      <c r="L24" s="20">
        <v>112.93</v>
      </c>
      <c r="M24" s="20">
        <f t="shared" si="2"/>
        <v>1242.23</v>
      </c>
      <c r="N24" s="18">
        <v>4</v>
      </c>
      <c r="O24" s="20">
        <v>112.93</v>
      </c>
      <c r="P24" s="20">
        <f t="shared" si="3"/>
        <v>451.72</v>
      </c>
      <c r="Q24" s="20">
        <f t="shared" si="4"/>
        <v>2145.67</v>
      </c>
    </row>
    <row r="25" spans="3:17" ht="23.35" customHeight="1" x14ac:dyDescent="0.45">
      <c r="C25" s="22">
        <f t="shared" si="0"/>
        <v>21</v>
      </c>
      <c r="E25" s="14"/>
      <c r="F25" s="15"/>
      <c r="G25" s="16"/>
      <c r="H25" s="21"/>
      <c r="I25" s="20"/>
      <c r="J25" s="20">
        <f t="shared" si="1"/>
        <v>0</v>
      </c>
      <c r="K25" s="21"/>
      <c r="L25" s="20"/>
      <c r="M25" s="20">
        <f t="shared" si="2"/>
        <v>0</v>
      </c>
      <c r="N25" s="21"/>
      <c r="O25" s="20"/>
      <c r="P25" s="20">
        <f t="shared" si="3"/>
        <v>0</v>
      </c>
      <c r="Q25" s="20">
        <f t="shared" si="4"/>
        <v>0</v>
      </c>
    </row>
    <row r="26" spans="3:17" ht="18.75" customHeight="1" x14ac:dyDescent="0.45">
      <c r="C26" s="22">
        <f t="shared" si="0"/>
        <v>22</v>
      </c>
      <c r="E26" s="23"/>
      <c r="F26" s="24"/>
      <c r="G26" s="25"/>
      <c r="H26" s="26"/>
      <c r="I26" s="27"/>
      <c r="J26" s="27">
        <f t="shared" si="1"/>
        <v>0</v>
      </c>
      <c r="K26" s="26"/>
      <c r="L26" s="27"/>
      <c r="M26" s="27">
        <f t="shared" si="2"/>
        <v>0</v>
      </c>
      <c r="N26" s="26"/>
      <c r="O26" s="27"/>
      <c r="P26" s="27">
        <f t="shared" si="3"/>
        <v>0</v>
      </c>
      <c r="Q26" s="27">
        <f t="shared" si="4"/>
        <v>0</v>
      </c>
    </row>
    <row r="27" spans="3:17" ht="18.75" customHeight="1" x14ac:dyDescent="0.45">
      <c r="C27" s="22">
        <f t="shared" si="0"/>
        <v>23</v>
      </c>
      <c r="E27" s="14"/>
      <c r="F27" s="15"/>
      <c r="G27" s="16"/>
      <c r="H27" s="21"/>
      <c r="I27" s="20"/>
      <c r="J27" s="20">
        <f t="shared" si="1"/>
        <v>0</v>
      </c>
      <c r="K27" s="21"/>
      <c r="L27" s="20"/>
      <c r="M27" s="20">
        <f t="shared" si="2"/>
        <v>0</v>
      </c>
      <c r="N27" s="21"/>
      <c r="O27" s="20"/>
      <c r="P27" s="20">
        <f t="shared" si="3"/>
        <v>0</v>
      </c>
      <c r="Q27" s="20">
        <f t="shared" si="4"/>
        <v>0</v>
      </c>
    </row>
    <row r="28" spans="3:17" ht="18.75" customHeight="1" x14ac:dyDescent="0.45">
      <c r="C28" s="22">
        <f t="shared" si="0"/>
        <v>24</v>
      </c>
      <c r="E28" s="14"/>
      <c r="F28" s="15"/>
      <c r="G28" s="16"/>
      <c r="H28" s="21"/>
      <c r="I28" s="20"/>
      <c r="J28" s="20">
        <f t="shared" si="1"/>
        <v>0</v>
      </c>
      <c r="K28" s="21"/>
      <c r="L28" s="20"/>
      <c r="M28" s="20">
        <f t="shared" si="2"/>
        <v>0</v>
      </c>
      <c r="N28" s="21"/>
      <c r="O28" s="20"/>
      <c r="P28" s="20">
        <f t="shared" si="3"/>
        <v>0</v>
      </c>
      <c r="Q28" s="20">
        <f t="shared" si="4"/>
        <v>0</v>
      </c>
    </row>
    <row r="29" spans="3:17" ht="18.75" customHeight="1" x14ac:dyDescent="0.45">
      <c r="C29" s="22">
        <f t="shared" si="0"/>
        <v>25</v>
      </c>
      <c r="E29" s="14"/>
      <c r="F29" s="15"/>
      <c r="G29" s="16"/>
      <c r="H29" s="21"/>
      <c r="I29" s="20"/>
      <c r="J29" s="20">
        <f t="shared" si="1"/>
        <v>0</v>
      </c>
      <c r="K29" s="21"/>
      <c r="L29" s="20"/>
      <c r="M29" s="20">
        <f t="shared" si="2"/>
        <v>0</v>
      </c>
      <c r="N29" s="21"/>
      <c r="O29" s="20"/>
      <c r="P29" s="20">
        <f t="shared" si="3"/>
        <v>0</v>
      </c>
      <c r="Q29" s="20">
        <f t="shared" si="4"/>
        <v>0</v>
      </c>
    </row>
    <row r="30" spans="3:17" ht="18.75" customHeight="1" x14ac:dyDescent="0.45">
      <c r="C30" s="22">
        <f t="shared" si="0"/>
        <v>26</v>
      </c>
      <c r="E30" s="23"/>
      <c r="F30" s="24"/>
      <c r="G30" s="25"/>
      <c r="H30" s="26"/>
      <c r="I30" s="27"/>
      <c r="J30" s="27">
        <f t="shared" si="1"/>
        <v>0</v>
      </c>
      <c r="K30" s="26"/>
      <c r="L30" s="27"/>
      <c r="M30" s="27">
        <f t="shared" si="2"/>
        <v>0</v>
      </c>
      <c r="N30" s="26"/>
      <c r="O30" s="27"/>
      <c r="P30" s="27">
        <f t="shared" si="3"/>
        <v>0</v>
      </c>
      <c r="Q30" s="27">
        <f t="shared" si="4"/>
        <v>0</v>
      </c>
    </row>
    <row r="31" spans="3:17" ht="18.75" customHeight="1" x14ac:dyDescent="0.45">
      <c r="C31" s="21" t="s">
        <v>45</v>
      </c>
      <c r="D31" s="15"/>
      <c r="E31" s="14"/>
      <c r="F31" s="15"/>
      <c r="G31" s="16"/>
      <c r="H31" s="18">
        <f>SUBTOTAL(109,Table1[QUANTITY])</f>
        <v>403</v>
      </c>
      <c r="I31" s="20">
        <f>SUBTOTAL(109,Table1[PRICE])</f>
        <v>6477.33</v>
      </c>
      <c r="J31" s="20">
        <f>SUBTOTAL(109,Table1[AMOUNT])</f>
        <v>164620.14000000004</v>
      </c>
      <c r="K31" s="21"/>
      <c r="L31" s="28"/>
      <c r="M31" s="20">
        <f>SUBTOTAL(109,Table1[[AMOUNT ]])</f>
        <v>236085.48</v>
      </c>
      <c r="N31" s="21"/>
      <c r="O31" s="28"/>
      <c r="P31" s="20">
        <f>SUBTOTAL(109,Table1[[AMOUNT  ]])</f>
        <v>360647.42</v>
      </c>
      <c r="Q31" s="20">
        <f>SUBTOTAL(109,Table1[TOTAL])</f>
        <v>761353.03999999992</v>
      </c>
    </row>
  </sheetData>
  <mergeCells count="3">
    <mergeCell ref="C2:Q2"/>
    <mergeCell ref="K3:M3"/>
    <mergeCell ref="N3:P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  <outlinePr summaryBelow="0"/>
  </sheetPr>
  <dimension ref="A1:G61"/>
  <sheetViews>
    <sheetView workbookViewId="0">
      <selection activeCell="F14" sqref="F14"/>
    </sheetView>
  </sheetViews>
  <sheetFormatPr defaultRowHeight="14.25" x14ac:dyDescent="0.45"/>
  <cols>
    <col min="1" max="1" width="12.33203125" bestFit="1" customWidth="1"/>
    <col min="2" max="2" width="31.6640625" bestFit="1" customWidth="1"/>
    <col min="3" max="3" width="37.6640625" bestFit="1" customWidth="1"/>
    <col min="4" max="4" width="14.33203125" bestFit="1" customWidth="1"/>
    <col min="5" max="5" width="15.796875" bestFit="1" customWidth="1"/>
    <col min="6" max="6" width="24.06640625" bestFit="1" customWidth="1"/>
    <col min="7" max="9" width="15.59765625" customWidth="1"/>
  </cols>
  <sheetData>
    <row r="1" spans="1:7" s="65" customFormat="1" ht="15.75" x14ac:dyDescent="0.5">
      <c r="A1" s="65" t="s">
        <v>60</v>
      </c>
      <c r="B1" s="65" t="s">
        <v>61</v>
      </c>
      <c r="C1" s="65" t="s">
        <v>94</v>
      </c>
      <c r="D1" s="65" t="s">
        <v>86</v>
      </c>
      <c r="E1" s="65" t="s">
        <v>87</v>
      </c>
      <c r="F1" s="65" t="s">
        <v>93</v>
      </c>
    </row>
    <row r="2" spans="1:7" x14ac:dyDescent="0.45">
      <c r="A2" s="66" t="s">
        <v>63</v>
      </c>
      <c r="B2" s="70" t="s">
        <v>95</v>
      </c>
      <c r="C2" s="66" t="s">
        <v>96</v>
      </c>
      <c r="D2" s="68">
        <v>12.5</v>
      </c>
      <c r="E2" s="68" t="s">
        <v>87</v>
      </c>
      <c r="F2" s="66" t="s">
        <v>97</v>
      </c>
      <c r="G2" s="68"/>
    </row>
    <row r="3" spans="1:7" x14ac:dyDescent="0.45">
      <c r="A3" s="66" t="s">
        <v>66</v>
      </c>
      <c r="B3" s="70" t="s">
        <v>98</v>
      </c>
      <c r="C3" s="66" t="s">
        <v>96</v>
      </c>
      <c r="D3" s="68">
        <v>85</v>
      </c>
      <c r="E3" s="69">
        <v>50</v>
      </c>
      <c r="F3" s="66" t="s">
        <v>99</v>
      </c>
      <c r="G3" s="68"/>
    </row>
    <row r="4" spans="1:7" x14ac:dyDescent="0.45">
      <c r="A4" s="66" t="s">
        <v>67</v>
      </c>
      <c r="B4" s="70" t="s">
        <v>100</v>
      </c>
      <c r="C4" s="66" t="s">
        <v>96</v>
      </c>
      <c r="D4" s="68">
        <v>4.25</v>
      </c>
      <c r="E4" s="69">
        <v>15</v>
      </c>
      <c r="F4" s="66" t="s">
        <v>101</v>
      </c>
      <c r="G4" s="68"/>
    </row>
    <row r="5" spans="1:7" x14ac:dyDescent="0.45">
      <c r="A5" s="66" t="s">
        <v>68</v>
      </c>
      <c r="B5" s="70" t="s">
        <v>102</v>
      </c>
      <c r="C5" s="66" t="s">
        <v>96</v>
      </c>
      <c r="D5" s="68">
        <v>9.75</v>
      </c>
      <c r="E5" s="69">
        <v>25</v>
      </c>
      <c r="F5" s="66" t="s">
        <v>103</v>
      </c>
      <c r="G5" s="68"/>
    </row>
    <row r="6" spans="1:7" x14ac:dyDescent="0.45">
      <c r="A6" s="66" t="s">
        <v>69</v>
      </c>
      <c r="B6" s="70" t="s">
        <v>104</v>
      </c>
      <c r="C6" s="66" t="s">
        <v>96</v>
      </c>
      <c r="D6" s="68">
        <v>14.5</v>
      </c>
      <c r="E6" s="69">
        <v>30</v>
      </c>
      <c r="F6" s="66" t="s">
        <v>99</v>
      </c>
      <c r="G6" s="68"/>
    </row>
    <row r="7" spans="1:7" x14ac:dyDescent="0.45">
      <c r="A7" s="66" t="s">
        <v>70</v>
      </c>
      <c r="B7" s="70" t="s">
        <v>105</v>
      </c>
      <c r="C7" s="66" t="s">
        <v>96</v>
      </c>
      <c r="D7" s="68">
        <v>18</v>
      </c>
      <c r="E7" s="69">
        <v>20</v>
      </c>
      <c r="F7" s="67" t="s">
        <v>101</v>
      </c>
      <c r="G7" s="68"/>
    </row>
    <row r="8" spans="1:7" x14ac:dyDescent="0.45">
      <c r="A8" s="66" t="s">
        <v>71</v>
      </c>
      <c r="B8" s="70" t="s">
        <v>106</v>
      </c>
      <c r="C8" s="66" t="s">
        <v>96</v>
      </c>
      <c r="D8" s="68">
        <v>6.25</v>
      </c>
      <c r="E8" s="69">
        <v>15</v>
      </c>
      <c r="F8" s="66" t="s">
        <v>97</v>
      </c>
      <c r="G8" s="68"/>
    </row>
    <row r="9" spans="1:7" x14ac:dyDescent="0.45">
      <c r="A9" s="66" t="s">
        <v>72</v>
      </c>
      <c r="B9" s="70" t="s">
        <v>107</v>
      </c>
      <c r="C9" s="66" t="s">
        <v>96</v>
      </c>
      <c r="D9" s="68">
        <v>11.5</v>
      </c>
      <c r="E9" s="69">
        <v>40</v>
      </c>
      <c r="F9" s="66" t="s">
        <v>103</v>
      </c>
      <c r="G9" s="68"/>
    </row>
    <row r="10" spans="1:7" x14ac:dyDescent="0.45">
      <c r="A10" s="66" t="s">
        <v>73</v>
      </c>
      <c r="B10" s="70" t="s">
        <v>108</v>
      </c>
      <c r="C10" s="66" t="s">
        <v>109</v>
      </c>
      <c r="D10" s="68">
        <v>89</v>
      </c>
      <c r="E10" s="69">
        <v>25</v>
      </c>
      <c r="F10" s="67" t="s">
        <v>110</v>
      </c>
      <c r="G10" s="68"/>
    </row>
    <row r="11" spans="1:7" x14ac:dyDescent="0.45">
      <c r="A11" s="66" t="s">
        <v>74</v>
      </c>
      <c r="B11" s="70" t="s">
        <v>111</v>
      </c>
      <c r="C11" s="66" t="s">
        <v>112</v>
      </c>
      <c r="D11" s="68">
        <v>125</v>
      </c>
      <c r="E11" s="69">
        <v>5</v>
      </c>
      <c r="F11" s="66" t="s">
        <v>113</v>
      </c>
      <c r="G11" s="68"/>
    </row>
    <row r="12" spans="1:7" x14ac:dyDescent="0.45">
      <c r="A12" s="66" t="s">
        <v>75</v>
      </c>
      <c r="B12" s="70" t="s">
        <v>114</v>
      </c>
      <c r="C12" s="66" t="s">
        <v>112</v>
      </c>
      <c r="D12" s="68">
        <v>475</v>
      </c>
      <c r="E12" s="69">
        <v>8</v>
      </c>
      <c r="F12" s="67" t="s">
        <v>115</v>
      </c>
      <c r="G12" s="68"/>
    </row>
    <row r="13" spans="1:7" x14ac:dyDescent="0.45">
      <c r="A13" s="66" t="s">
        <v>76</v>
      </c>
      <c r="B13" s="70" t="s">
        <v>116</v>
      </c>
      <c r="C13" s="66" t="s">
        <v>117</v>
      </c>
      <c r="D13" s="68">
        <v>18.75</v>
      </c>
      <c r="E13" s="69">
        <v>3</v>
      </c>
      <c r="F13" s="67" t="s">
        <v>110</v>
      </c>
      <c r="G13" s="68"/>
    </row>
    <row r="14" spans="1:7" x14ac:dyDescent="0.45">
      <c r="A14" s="66" t="s">
        <v>77</v>
      </c>
      <c r="B14" s="70" t="s">
        <v>118</v>
      </c>
      <c r="C14" s="66" t="s">
        <v>117</v>
      </c>
      <c r="D14" s="68">
        <v>6.5</v>
      </c>
      <c r="E14" s="69">
        <v>20</v>
      </c>
      <c r="F14" s="66" t="s">
        <v>119</v>
      </c>
      <c r="G14" s="68"/>
    </row>
    <row r="15" spans="1:7" x14ac:dyDescent="0.45">
      <c r="A15" s="66" t="s">
        <v>78</v>
      </c>
      <c r="B15" s="70" t="s">
        <v>120</v>
      </c>
      <c r="C15" s="66" t="s">
        <v>117</v>
      </c>
      <c r="D15" s="68">
        <v>145</v>
      </c>
      <c r="E15" s="69">
        <v>30</v>
      </c>
      <c r="F15" s="66" t="s">
        <v>115</v>
      </c>
      <c r="G15" s="68"/>
    </row>
    <row r="16" spans="1:7" x14ac:dyDescent="0.45">
      <c r="A16" s="66" t="s">
        <v>79</v>
      </c>
      <c r="B16" s="70" t="s">
        <v>121</v>
      </c>
      <c r="C16" s="66" t="s">
        <v>117</v>
      </c>
      <c r="D16" s="68">
        <v>95</v>
      </c>
      <c r="E16" s="69">
        <v>5</v>
      </c>
      <c r="F16" s="66" t="s">
        <v>113</v>
      </c>
      <c r="G16" s="68"/>
    </row>
    <row r="17" spans="1:7" x14ac:dyDescent="0.45">
      <c r="A17" s="66" t="s">
        <v>80</v>
      </c>
      <c r="B17" s="70" t="s">
        <v>122</v>
      </c>
      <c r="C17" s="66" t="s">
        <v>117</v>
      </c>
      <c r="D17" s="68">
        <v>22.5</v>
      </c>
      <c r="E17" s="69">
        <v>8</v>
      </c>
      <c r="F17" s="66" t="s">
        <v>119</v>
      </c>
      <c r="G17" s="68"/>
    </row>
    <row r="18" spans="1:7" x14ac:dyDescent="0.45">
      <c r="A18" s="66" t="s">
        <v>81</v>
      </c>
      <c r="B18" s="70" t="s">
        <v>123</v>
      </c>
      <c r="C18" s="66" t="s">
        <v>124</v>
      </c>
      <c r="D18" s="68">
        <v>1.25</v>
      </c>
      <c r="E18" s="69">
        <v>15</v>
      </c>
      <c r="F18" s="66" t="s">
        <v>125</v>
      </c>
      <c r="G18" s="68"/>
    </row>
    <row r="19" spans="1:7" x14ac:dyDescent="0.45">
      <c r="A19" s="66" t="s">
        <v>82</v>
      </c>
      <c r="B19" s="70" t="s">
        <v>126</v>
      </c>
      <c r="C19" s="66" t="s">
        <v>124</v>
      </c>
      <c r="D19" s="68">
        <v>2.1</v>
      </c>
      <c r="E19" s="69">
        <v>100</v>
      </c>
      <c r="F19" s="67" t="s">
        <v>125</v>
      </c>
      <c r="G19" s="68"/>
    </row>
    <row r="20" spans="1:7" x14ac:dyDescent="0.45">
      <c r="A20" s="66" t="s">
        <v>83</v>
      </c>
      <c r="B20" s="70" t="s">
        <v>127</v>
      </c>
      <c r="C20" s="66" t="s">
        <v>124</v>
      </c>
      <c r="D20" s="68">
        <v>3.75</v>
      </c>
      <c r="E20" s="69">
        <v>100</v>
      </c>
      <c r="F20" s="66" t="s">
        <v>128</v>
      </c>
      <c r="G20" s="68"/>
    </row>
    <row r="21" spans="1:7" x14ac:dyDescent="0.45">
      <c r="A21" s="66" t="s">
        <v>84</v>
      </c>
      <c r="B21" s="70" t="s">
        <v>129</v>
      </c>
      <c r="C21" s="66" t="s">
        <v>124</v>
      </c>
      <c r="D21" s="68">
        <v>18.5</v>
      </c>
      <c r="E21" s="69">
        <v>75</v>
      </c>
      <c r="F21" s="66" t="s">
        <v>125</v>
      </c>
      <c r="G21" s="68"/>
    </row>
    <row r="22" spans="1:7" x14ac:dyDescent="0.45">
      <c r="A22" s="66" t="s">
        <v>198</v>
      </c>
      <c r="B22" s="70" t="s">
        <v>130</v>
      </c>
      <c r="C22" s="66" t="s">
        <v>124</v>
      </c>
      <c r="D22" s="68">
        <v>24</v>
      </c>
      <c r="E22" s="69">
        <v>25</v>
      </c>
      <c r="F22" s="67" t="s">
        <v>131</v>
      </c>
      <c r="G22" s="68"/>
    </row>
    <row r="23" spans="1:7" x14ac:dyDescent="0.45">
      <c r="A23" s="66" t="s">
        <v>199</v>
      </c>
      <c r="B23" s="70" t="s">
        <v>132</v>
      </c>
      <c r="C23" s="66" t="s">
        <v>124</v>
      </c>
      <c r="D23" s="68">
        <v>4.75</v>
      </c>
      <c r="E23" s="69">
        <v>30</v>
      </c>
      <c r="F23" s="67" t="s">
        <v>131</v>
      </c>
      <c r="G23" s="68"/>
    </row>
    <row r="24" spans="1:7" x14ac:dyDescent="0.45">
      <c r="A24" s="66" t="s">
        <v>200</v>
      </c>
      <c r="B24" s="70" t="s">
        <v>133</v>
      </c>
      <c r="C24" s="66" t="s">
        <v>124</v>
      </c>
      <c r="D24" s="68">
        <v>32</v>
      </c>
      <c r="E24" s="69">
        <v>50</v>
      </c>
      <c r="F24" s="67" t="s">
        <v>128</v>
      </c>
      <c r="G24" s="68"/>
    </row>
    <row r="25" spans="1:7" x14ac:dyDescent="0.45">
      <c r="A25" s="66" t="s">
        <v>201</v>
      </c>
      <c r="B25" s="70" t="s">
        <v>134</v>
      </c>
      <c r="C25" s="66" t="s">
        <v>124</v>
      </c>
      <c r="D25" s="68">
        <v>15.5</v>
      </c>
      <c r="E25" s="69">
        <v>20</v>
      </c>
      <c r="F25" s="67" t="s">
        <v>135</v>
      </c>
      <c r="G25" s="68"/>
    </row>
    <row r="26" spans="1:7" x14ac:dyDescent="0.45">
      <c r="A26" s="66" t="s">
        <v>202</v>
      </c>
      <c r="B26" s="70" t="s">
        <v>136</v>
      </c>
      <c r="C26" s="66" t="s">
        <v>137</v>
      </c>
      <c r="D26" s="68">
        <v>12.75</v>
      </c>
      <c r="E26" s="69">
        <v>40</v>
      </c>
      <c r="F26" s="67" t="s">
        <v>135</v>
      </c>
      <c r="G26" s="68"/>
    </row>
    <row r="27" spans="1:7" x14ac:dyDescent="0.45">
      <c r="A27" s="66" t="s">
        <v>203</v>
      </c>
      <c r="B27" s="70" t="s">
        <v>138</v>
      </c>
      <c r="C27" s="66" t="s">
        <v>137</v>
      </c>
      <c r="D27" s="68">
        <v>28</v>
      </c>
      <c r="E27" s="69">
        <v>25</v>
      </c>
      <c r="F27" s="67" t="s">
        <v>139</v>
      </c>
      <c r="G27" s="68"/>
    </row>
    <row r="28" spans="1:7" x14ac:dyDescent="0.45">
      <c r="A28" s="66" t="s">
        <v>204</v>
      </c>
      <c r="B28" s="70" t="s">
        <v>140</v>
      </c>
      <c r="C28" s="66" t="s">
        <v>141</v>
      </c>
      <c r="D28" s="68">
        <v>1.5</v>
      </c>
      <c r="E28" s="69">
        <v>20</v>
      </c>
      <c r="F28" s="67" t="s">
        <v>142</v>
      </c>
      <c r="G28" s="68"/>
    </row>
    <row r="29" spans="1:7" x14ac:dyDescent="0.45">
      <c r="A29" s="66" t="s">
        <v>205</v>
      </c>
      <c r="B29" s="70" t="s">
        <v>143</v>
      </c>
      <c r="C29" s="66" t="s">
        <v>141</v>
      </c>
      <c r="D29" s="68">
        <v>8.25</v>
      </c>
      <c r="E29" s="69">
        <v>50</v>
      </c>
      <c r="F29" s="67" t="s">
        <v>142</v>
      </c>
      <c r="G29" s="68"/>
    </row>
    <row r="30" spans="1:7" x14ac:dyDescent="0.45">
      <c r="A30" s="66" t="s">
        <v>206</v>
      </c>
      <c r="B30" s="70" t="s">
        <v>144</v>
      </c>
      <c r="C30" s="66" t="s">
        <v>141</v>
      </c>
      <c r="D30" s="68">
        <v>6.75</v>
      </c>
      <c r="E30" s="69">
        <v>15</v>
      </c>
      <c r="F30" s="67" t="s">
        <v>145</v>
      </c>
      <c r="G30" s="68"/>
    </row>
    <row r="31" spans="1:7" x14ac:dyDescent="0.45">
      <c r="A31" s="66" t="s">
        <v>207</v>
      </c>
      <c r="B31" s="70" t="s">
        <v>146</v>
      </c>
      <c r="C31" s="66" t="s">
        <v>137</v>
      </c>
      <c r="D31" s="68">
        <v>9.5</v>
      </c>
      <c r="E31" s="69">
        <v>20</v>
      </c>
      <c r="F31" s="67" t="s">
        <v>145</v>
      </c>
      <c r="G31" s="68"/>
    </row>
    <row r="32" spans="1:7" x14ac:dyDescent="0.45">
      <c r="A32" s="66" t="s">
        <v>208</v>
      </c>
      <c r="B32" s="70" t="s">
        <v>147</v>
      </c>
      <c r="C32" s="66" t="s">
        <v>148</v>
      </c>
      <c r="D32" s="68">
        <v>325</v>
      </c>
      <c r="E32" s="69">
        <v>30</v>
      </c>
      <c r="F32" s="67" t="s">
        <v>149</v>
      </c>
      <c r="G32" s="68"/>
    </row>
    <row r="33" spans="1:7" x14ac:dyDescent="0.45">
      <c r="A33" s="66" t="s">
        <v>209</v>
      </c>
      <c r="B33" s="70" t="s">
        <v>150</v>
      </c>
      <c r="C33" s="66" t="s">
        <v>148</v>
      </c>
      <c r="D33" s="68">
        <v>85</v>
      </c>
      <c r="E33" s="69">
        <v>5</v>
      </c>
      <c r="F33" s="67" t="s">
        <v>149</v>
      </c>
      <c r="G33" s="68"/>
    </row>
    <row r="34" spans="1:7" x14ac:dyDescent="0.45">
      <c r="A34" s="66" t="s">
        <v>210</v>
      </c>
      <c r="B34" s="70" t="s">
        <v>151</v>
      </c>
      <c r="C34" s="66" t="s">
        <v>148</v>
      </c>
      <c r="D34" s="68">
        <v>42</v>
      </c>
      <c r="E34" s="69">
        <v>10</v>
      </c>
      <c r="F34" s="67" t="s">
        <v>152</v>
      </c>
      <c r="G34" s="68"/>
    </row>
    <row r="35" spans="1:7" x14ac:dyDescent="0.45">
      <c r="A35" s="66" t="s">
        <v>211</v>
      </c>
      <c r="B35" s="70" t="s">
        <v>153</v>
      </c>
      <c r="C35" s="66" t="s">
        <v>148</v>
      </c>
      <c r="D35" s="68">
        <v>28.5</v>
      </c>
      <c r="E35" s="69">
        <v>10</v>
      </c>
      <c r="F35" s="67" t="s">
        <v>152</v>
      </c>
      <c r="G35" s="68"/>
    </row>
    <row r="36" spans="1:7" x14ac:dyDescent="0.45">
      <c r="A36" s="66" t="s">
        <v>212</v>
      </c>
      <c r="B36" s="70" t="s">
        <v>154</v>
      </c>
      <c r="C36" s="66" t="s">
        <v>148</v>
      </c>
      <c r="D36" s="68">
        <v>675</v>
      </c>
      <c r="E36" s="69">
        <v>10</v>
      </c>
      <c r="F36" s="67" t="s">
        <v>155</v>
      </c>
      <c r="G36" s="68"/>
    </row>
    <row r="37" spans="1:7" x14ac:dyDescent="0.45">
      <c r="A37" s="66" t="s">
        <v>213</v>
      </c>
      <c r="B37" s="70" t="s">
        <v>156</v>
      </c>
      <c r="C37" s="66" t="s">
        <v>148</v>
      </c>
      <c r="D37" s="68">
        <v>12.5</v>
      </c>
      <c r="E37" s="69">
        <v>3</v>
      </c>
      <c r="F37" s="67" t="s">
        <v>157</v>
      </c>
      <c r="G37" s="68"/>
    </row>
    <row r="38" spans="1:7" x14ac:dyDescent="0.45">
      <c r="A38" s="66" t="s">
        <v>214</v>
      </c>
      <c r="B38" s="70" t="s">
        <v>158</v>
      </c>
      <c r="C38" s="66" t="s">
        <v>148</v>
      </c>
      <c r="D38" s="68">
        <v>285</v>
      </c>
      <c r="E38" s="69">
        <v>25</v>
      </c>
      <c r="F38" s="67" t="s">
        <v>139</v>
      </c>
      <c r="G38" s="68"/>
    </row>
    <row r="39" spans="1:7" x14ac:dyDescent="0.45">
      <c r="A39" s="66" t="s">
        <v>215</v>
      </c>
      <c r="B39" s="70" t="s">
        <v>159</v>
      </c>
      <c r="C39" s="66" t="s">
        <v>160</v>
      </c>
      <c r="D39" s="68">
        <v>45</v>
      </c>
      <c r="E39" s="69">
        <v>5</v>
      </c>
      <c r="F39" s="67" t="s">
        <v>161</v>
      </c>
      <c r="G39" s="68"/>
    </row>
    <row r="40" spans="1:7" x14ac:dyDescent="0.45">
      <c r="A40" s="66" t="s">
        <v>216</v>
      </c>
      <c r="B40" s="70" t="s">
        <v>162</v>
      </c>
      <c r="C40" s="66" t="s">
        <v>160</v>
      </c>
      <c r="D40" s="68">
        <v>165</v>
      </c>
      <c r="E40" s="69">
        <v>10</v>
      </c>
      <c r="F40" s="67" t="s">
        <v>161</v>
      </c>
      <c r="G40" s="68"/>
    </row>
    <row r="41" spans="1:7" x14ac:dyDescent="0.45">
      <c r="A41" s="66" t="s">
        <v>217</v>
      </c>
      <c r="B41" s="70" t="s">
        <v>163</v>
      </c>
      <c r="C41" s="66" t="s">
        <v>160</v>
      </c>
      <c r="D41" s="68">
        <v>24.5</v>
      </c>
      <c r="E41" s="69">
        <v>5</v>
      </c>
      <c r="F41" s="67" t="s">
        <v>164</v>
      </c>
      <c r="G41" s="68"/>
    </row>
    <row r="42" spans="1:7" x14ac:dyDescent="0.45">
      <c r="A42" s="66" t="s">
        <v>218</v>
      </c>
      <c r="B42" s="70" t="s">
        <v>165</v>
      </c>
      <c r="C42" s="66" t="s">
        <v>160</v>
      </c>
      <c r="D42" s="68">
        <v>78</v>
      </c>
      <c r="E42" s="69">
        <v>15</v>
      </c>
      <c r="F42" s="67" t="s">
        <v>164</v>
      </c>
      <c r="G42" s="68"/>
    </row>
    <row r="43" spans="1:7" x14ac:dyDescent="0.45">
      <c r="A43" s="66" t="s">
        <v>219</v>
      </c>
      <c r="B43" s="70" t="s">
        <v>166</v>
      </c>
      <c r="C43" s="66" t="s">
        <v>160</v>
      </c>
      <c r="D43" s="68">
        <v>32</v>
      </c>
      <c r="E43" s="69">
        <v>8</v>
      </c>
      <c r="F43" s="67" t="s">
        <v>161</v>
      </c>
      <c r="G43" s="68"/>
    </row>
    <row r="44" spans="1:7" x14ac:dyDescent="0.45">
      <c r="A44" s="66" t="s">
        <v>220</v>
      </c>
      <c r="B44" s="70" t="s">
        <v>167</v>
      </c>
      <c r="C44" s="66" t="s">
        <v>160</v>
      </c>
      <c r="D44" s="68">
        <v>12.75</v>
      </c>
      <c r="E44" s="69">
        <v>10</v>
      </c>
      <c r="F44" s="67" t="s">
        <v>168</v>
      </c>
      <c r="G44" s="68"/>
    </row>
    <row r="45" spans="1:7" x14ac:dyDescent="0.45">
      <c r="A45" s="66" t="s">
        <v>221</v>
      </c>
      <c r="B45" s="70" t="s">
        <v>169</v>
      </c>
      <c r="C45" s="66" t="s">
        <v>160</v>
      </c>
      <c r="D45" s="68">
        <v>18.5</v>
      </c>
      <c r="E45" s="69">
        <v>25</v>
      </c>
      <c r="F45" s="67" t="s">
        <v>168</v>
      </c>
      <c r="G45" s="68"/>
    </row>
    <row r="46" spans="1:7" x14ac:dyDescent="0.45">
      <c r="A46" s="66" t="s">
        <v>222</v>
      </c>
      <c r="B46" s="70" t="s">
        <v>170</v>
      </c>
      <c r="C46" s="66" t="s">
        <v>160</v>
      </c>
      <c r="D46" s="68">
        <v>22</v>
      </c>
      <c r="E46" s="69">
        <v>30</v>
      </c>
      <c r="F46" s="67" t="s">
        <v>164</v>
      </c>
      <c r="G46" s="68"/>
    </row>
    <row r="47" spans="1:7" x14ac:dyDescent="0.45">
      <c r="A47" s="66" t="s">
        <v>223</v>
      </c>
      <c r="B47" s="70" t="s">
        <v>171</v>
      </c>
      <c r="C47" s="66" t="s">
        <v>172</v>
      </c>
      <c r="D47" s="68">
        <v>18.75</v>
      </c>
      <c r="E47" s="69">
        <v>10</v>
      </c>
      <c r="F47" s="67" t="s">
        <v>173</v>
      </c>
      <c r="G47" s="68"/>
    </row>
    <row r="48" spans="1:7" x14ac:dyDescent="0.45">
      <c r="A48" s="66" t="s">
        <v>224</v>
      </c>
      <c r="B48" s="70" t="s">
        <v>174</v>
      </c>
      <c r="C48" s="66" t="s">
        <v>172</v>
      </c>
      <c r="D48" s="68">
        <v>24.5</v>
      </c>
      <c r="E48" s="69">
        <v>15</v>
      </c>
      <c r="F48" s="67" t="s">
        <v>173</v>
      </c>
      <c r="G48" s="68"/>
    </row>
    <row r="49" spans="1:7" x14ac:dyDescent="0.45">
      <c r="A49" s="66" t="s">
        <v>225</v>
      </c>
      <c r="B49" s="70" t="s">
        <v>175</v>
      </c>
      <c r="C49" s="66" t="s">
        <v>172</v>
      </c>
      <c r="D49" s="68">
        <v>42</v>
      </c>
      <c r="E49" s="69">
        <v>20</v>
      </c>
      <c r="F49" s="67" t="s">
        <v>176</v>
      </c>
      <c r="G49" s="68"/>
    </row>
    <row r="50" spans="1:7" x14ac:dyDescent="0.45">
      <c r="A50" s="66" t="s">
        <v>226</v>
      </c>
      <c r="B50" s="70" t="s">
        <v>177</v>
      </c>
      <c r="C50" s="66" t="s">
        <v>172</v>
      </c>
      <c r="D50" s="68">
        <v>35</v>
      </c>
      <c r="E50" s="69">
        <v>10</v>
      </c>
      <c r="F50" s="67" t="s">
        <v>178</v>
      </c>
      <c r="G50" s="68"/>
    </row>
    <row r="51" spans="1:7" x14ac:dyDescent="0.45">
      <c r="A51" s="66" t="s">
        <v>227</v>
      </c>
      <c r="B51" s="70" t="s">
        <v>179</v>
      </c>
      <c r="C51" s="66" t="s">
        <v>172</v>
      </c>
      <c r="D51" s="68">
        <v>28.5</v>
      </c>
      <c r="E51" s="69">
        <v>15</v>
      </c>
      <c r="F51" s="67" t="s">
        <v>178</v>
      </c>
      <c r="G51" s="68"/>
    </row>
    <row r="52" spans="1:7" x14ac:dyDescent="0.45">
      <c r="A52" s="66" t="s">
        <v>228</v>
      </c>
      <c r="B52" s="70" t="s">
        <v>180</v>
      </c>
      <c r="C52" s="66" t="s">
        <v>172</v>
      </c>
      <c r="D52" s="68">
        <v>19.75</v>
      </c>
      <c r="E52" s="69">
        <v>10</v>
      </c>
      <c r="F52" s="67" t="s">
        <v>181</v>
      </c>
      <c r="G52" s="68"/>
    </row>
    <row r="53" spans="1:7" x14ac:dyDescent="0.45">
      <c r="A53" s="66" t="s">
        <v>229</v>
      </c>
      <c r="B53" s="70" t="s">
        <v>182</v>
      </c>
      <c r="C53" s="66" t="s">
        <v>172</v>
      </c>
      <c r="D53" s="68">
        <v>16.5</v>
      </c>
      <c r="E53" s="69">
        <v>25</v>
      </c>
      <c r="F53" s="67" t="s">
        <v>181</v>
      </c>
      <c r="G53" s="68"/>
    </row>
    <row r="54" spans="1:7" x14ac:dyDescent="0.45">
      <c r="A54" s="66" t="s">
        <v>230</v>
      </c>
      <c r="B54" s="70" t="s">
        <v>183</v>
      </c>
      <c r="C54" s="66" t="s">
        <v>184</v>
      </c>
      <c r="D54" s="68">
        <v>45</v>
      </c>
      <c r="E54" s="69">
        <v>20</v>
      </c>
      <c r="F54" s="67" t="s">
        <v>185</v>
      </c>
      <c r="G54" s="68"/>
    </row>
    <row r="55" spans="1:7" x14ac:dyDescent="0.45">
      <c r="A55" s="66" t="s">
        <v>231</v>
      </c>
      <c r="B55" s="70" t="s">
        <v>186</v>
      </c>
      <c r="C55" s="66" t="s">
        <v>184</v>
      </c>
      <c r="D55" s="68">
        <v>185</v>
      </c>
      <c r="E55" s="69">
        <v>10</v>
      </c>
      <c r="F55" s="67" t="s">
        <v>185</v>
      </c>
      <c r="G55" s="68"/>
    </row>
    <row r="56" spans="1:7" x14ac:dyDescent="0.45">
      <c r="A56" s="66" t="s">
        <v>232</v>
      </c>
      <c r="B56" s="70" t="s">
        <v>187</v>
      </c>
      <c r="C56" s="66" t="s">
        <v>184</v>
      </c>
      <c r="D56" s="68">
        <v>38.5</v>
      </c>
      <c r="E56" s="69">
        <v>5</v>
      </c>
      <c r="F56" s="67" t="s">
        <v>188</v>
      </c>
      <c r="G56" s="68"/>
    </row>
    <row r="57" spans="1:7" x14ac:dyDescent="0.45">
      <c r="A57" s="66" t="s">
        <v>233</v>
      </c>
      <c r="B57" s="70" t="s">
        <v>189</v>
      </c>
      <c r="C57" s="66" t="s">
        <v>184</v>
      </c>
      <c r="D57" s="68">
        <v>0.18</v>
      </c>
      <c r="E57" s="69">
        <v>15</v>
      </c>
      <c r="F57" s="67" t="s">
        <v>190</v>
      </c>
      <c r="G57" s="68"/>
    </row>
    <row r="58" spans="1:7" x14ac:dyDescent="0.45">
      <c r="A58" s="66" t="s">
        <v>234</v>
      </c>
      <c r="B58" s="70" t="s">
        <v>191</v>
      </c>
      <c r="C58" s="66" t="s">
        <v>192</v>
      </c>
      <c r="D58" s="68">
        <v>0.25</v>
      </c>
      <c r="E58" s="69">
        <v>100</v>
      </c>
      <c r="F58" s="67" t="s">
        <v>193</v>
      </c>
      <c r="G58" s="68"/>
    </row>
    <row r="59" spans="1:7" x14ac:dyDescent="0.45">
      <c r="A59" s="66" t="s">
        <v>235</v>
      </c>
      <c r="B59" s="70" t="s">
        <v>194</v>
      </c>
      <c r="C59" s="66" t="s">
        <v>192</v>
      </c>
      <c r="D59" s="68">
        <v>0.15</v>
      </c>
      <c r="E59" s="69">
        <v>100</v>
      </c>
      <c r="F59" s="67" t="s">
        <v>193</v>
      </c>
      <c r="G59" s="68"/>
    </row>
    <row r="60" spans="1:7" x14ac:dyDescent="0.45">
      <c r="A60" s="66" t="s">
        <v>236</v>
      </c>
      <c r="B60" s="70" t="s">
        <v>195</v>
      </c>
      <c r="C60" s="66" t="s">
        <v>192</v>
      </c>
      <c r="D60" s="68">
        <v>0.12</v>
      </c>
      <c r="E60" s="69">
        <v>100</v>
      </c>
      <c r="F60" s="67" t="s">
        <v>196</v>
      </c>
      <c r="G60" s="68"/>
    </row>
    <row r="61" spans="1:7" x14ac:dyDescent="0.45">
      <c r="A61" s="66" t="s">
        <v>237</v>
      </c>
      <c r="B61" s="70" t="s">
        <v>197</v>
      </c>
      <c r="C61" s="66" t="s">
        <v>192</v>
      </c>
      <c r="D61">
        <v>8.5</v>
      </c>
      <c r="E61" s="69">
        <v>100</v>
      </c>
      <c r="F61" s="67" t="s">
        <v>196</v>
      </c>
      <c r="G61" s="68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5D85-F04D-4F6D-9160-0486A4994C8D}">
  <sheetPr>
    <tabColor theme="7" tint="0.39997558519241921"/>
  </sheetPr>
  <dimension ref="A1:F61"/>
  <sheetViews>
    <sheetView topLeftCell="A31" workbookViewId="0">
      <selection activeCell="I23" sqref="I23"/>
    </sheetView>
  </sheetViews>
  <sheetFormatPr defaultRowHeight="14.25" x14ac:dyDescent="0.45"/>
  <cols>
    <col min="2" max="2" width="9.9296875" customWidth="1"/>
    <col min="3" max="3" width="10.9296875" customWidth="1"/>
    <col min="4" max="4" width="16.33203125" style="73" customWidth="1"/>
    <col min="5" max="5" width="12.46484375" style="73" bestFit="1" customWidth="1"/>
    <col min="6" max="6" width="16.33203125" customWidth="1"/>
  </cols>
  <sheetData>
    <row r="1" spans="1:6" x14ac:dyDescent="0.45">
      <c r="A1" t="s">
        <v>238</v>
      </c>
      <c r="B1" t="s">
        <v>239</v>
      </c>
      <c r="C1" t="s">
        <v>60</v>
      </c>
      <c r="D1" s="73" t="s">
        <v>85</v>
      </c>
      <c r="E1" s="73" t="s">
        <v>240</v>
      </c>
      <c r="F1" t="s">
        <v>47</v>
      </c>
    </row>
    <row r="2" spans="1:6" x14ac:dyDescent="0.45">
      <c r="A2" t="s">
        <v>241</v>
      </c>
      <c r="B2" s="71">
        <v>45900</v>
      </c>
      <c r="C2" t="s">
        <v>63</v>
      </c>
      <c r="D2" s="75" t="s">
        <v>62</v>
      </c>
      <c r="E2" s="74">
        <v>50</v>
      </c>
      <c r="F2" s="72" t="s">
        <v>301</v>
      </c>
    </row>
    <row r="3" spans="1:6" x14ac:dyDescent="0.45">
      <c r="A3" t="s">
        <v>242</v>
      </c>
      <c r="B3" s="71">
        <v>45900</v>
      </c>
      <c r="C3" t="s">
        <v>66</v>
      </c>
      <c r="D3" s="75" t="s">
        <v>64</v>
      </c>
      <c r="E3" s="74">
        <v>30</v>
      </c>
      <c r="F3" s="72" t="s">
        <v>301</v>
      </c>
    </row>
    <row r="4" spans="1:6" x14ac:dyDescent="0.45">
      <c r="A4" t="s">
        <v>243</v>
      </c>
      <c r="B4" s="71">
        <v>45900</v>
      </c>
      <c r="C4" t="s">
        <v>67</v>
      </c>
      <c r="D4" s="75" t="s">
        <v>65</v>
      </c>
      <c r="E4" s="74">
        <v>40</v>
      </c>
      <c r="F4" s="72" t="s">
        <v>301</v>
      </c>
    </row>
    <row r="5" spans="1:6" x14ac:dyDescent="0.45">
      <c r="A5" t="s">
        <v>244</v>
      </c>
      <c r="B5" s="71">
        <v>45900</v>
      </c>
      <c r="C5" t="s">
        <v>68</v>
      </c>
      <c r="D5" s="75" t="s">
        <v>62</v>
      </c>
      <c r="E5" s="74">
        <v>12</v>
      </c>
      <c r="F5" s="72" t="s">
        <v>301</v>
      </c>
    </row>
    <row r="6" spans="1:6" x14ac:dyDescent="0.45">
      <c r="A6" t="s">
        <v>245</v>
      </c>
      <c r="B6" s="71">
        <v>45900</v>
      </c>
      <c r="C6" t="s">
        <v>69</v>
      </c>
      <c r="D6" s="75" t="s">
        <v>64</v>
      </c>
      <c r="E6" s="74">
        <v>20</v>
      </c>
      <c r="F6" s="72" t="s">
        <v>301</v>
      </c>
    </row>
    <row r="7" spans="1:6" x14ac:dyDescent="0.45">
      <c r="A7" t="s">
        <v>246</v>
      </c>
      <c r="B7" s="71">
        <v>45900</v>
      </c>
      <c r="C7" t="s">
        <v>70</v>
      </c>
      <c r="D7" s="75" t="s">
        <v>65</v>
      </c>
      <c r="E7" s="74">
        <v>14</v>
      </c>
      <c r="F7" s="72" t="s">
        <v>301</v>
      </c>
    </row>
    <row r="8" spans="1:6" x14ac:dyDescent="0.45">
      <c r="A8" t="s">
        <v>247</v>
      </c>
      <c r="B8" s="71">
        <v>45900</v>
      </c>
      <c r="C8" t="s">
        <v>71</v>
      </c>
      <c r="D8" s="75" t="s">
        <v>62</v>
      </c>
      <c r="E8" s="74">
        <v>25</v>
      </c>
      <c r="F8" s="72" t="s">
        <v>301</v>
      </c>
    </row>
    <row r="9" spans="1:6" x14ac:dyDescent="0.45">
      <c r="A9" t="s">
        <v>248</v>
      </c>
      <c r="B9" s="71">
        <v>45900</v>
      </c>
      <c r="C9" t="s">
        <v>72</v>
      </c>
      <c r="D9" s="75" t="s">
        <v>64</v>
      </c>
      <c r="E9" s="74">
        <v>30</v>
      </c>
      <c r="F9" s="72" t="s">
        <v>301</v>
      </c>
    </row>
    <row r="10" spans="1:6" x14ac:dyDescent="0.45">
      <c r="A10" t="s">
        <v>249</v>
      </c>
      <c r="B10" s="71">
        <v>45900</v>
      </c>
      <c r="C10" t="s">
        <v>73</v>
      </c>
      <c r="D10" s="75" t="s">
        <v>65</v>
      </c>
      <c r="E10" s="74">
        <v>10</v>
      </c>
      <c r="F10" s="72" t="s">
        <v>301</v>
      </c>
    </row>
    <row r="11" spans="1:6" x14ac:dyDescent="0.45">
      <c r="A11" t="s">
        <v>250</v>
      </c>
      <c r="B11" s="71">
        <v>45900</v>
      </c>
      <c r="C11" t="s">
        <v>74</v>
      </c>
      <c r="D11" s="75" t="s">
        <v>62</v>
      </c>
      <c r="E11" s="74">
        <v>35</v>
      </c>
      <c r="F11" s="72" t="s">
        <v>301</v>
      </c>
    </row>
    <row r="12" spans="1:6" x14ac:dyDescent="0.45">
      <c r="A12" t="s">
        <v>251</v>
      </c>
      <c r="B12" s="71">
        <v>45900</v>
      </c>
      <c r="C12" t="s">
        <v>75</v>
      </c>
      <c r="D12" s="75" t="s">
        <v>64</v>
      </c>
      <c r="E12" s="74">
        <v>25</v>
      </c>
      <c r="F12" s="72" t="s">
        <v>301</v>
      </c>
    </row>
    <row r="13" spans="1:6" x14ac:dyDescent="0.45">
      <c r="A13" t="s">
        <v>252</v>
      </c>
      <c r="B13" s="71">
        <v>45900</v>
      </c>
      <c r="C13" t="s">
        <v>76</v>
      </c>
      <c r="D13" s="75" t="s">
        <v>65</v>
      </c>
      <c r="E13" s="74">
        <v>18</v>
      </c>
      <c r="F13" s="72" t="s">
        <v>301</v>
      </c>
    </row>
    <row r="14" spans="1:6" x14ac:dyDescent="0.45">
      <c r="A14" t="s">
        <v>253</v>
      </c>
      <c r="B14" s="71">
        <v>45900</v>
      </c>
      <c r="C14" t="s">
        <v>77</v>
      </c>
      <c r="D14" s="75" t="s">
        <v>62</v>
      </c>
      <c r="E14" s="74">
        <v>60</v>
      </c>
      <c r="F14" s="72" t="s">
        <v>301</v>
      </c>
    </row>
    <row r="15" spans="1:6" x14ac:dyDescent="0.45">
      <c r="A15" t="s">
        <v>254</v>
      </c>
      <c r="B15" s="71">
        <v>45900</v>
      </c>
      <c r="C15" t="s">
        <v>78</v>
      </c>
      <c r="D15" s="75" t="s">
        <v>64</v>
      </c>
      <c r="E15" s="74">
        <v>50</v>
      </c>
      <c r="F15" s="72" t="s">
        <v>301</v>
      </c>
    </row>
    <row r="16" spans="1:6" x14ac:dyDescent="0.45">
      <c r="A16" t="s">
        <v>255</v>
      </c>
      <c r="B16" s="71">
        <v>45900</v>
      </c>
      <c r="C16" t="s">
        <v>79</v>
      </c>
      <c r="D16" s="75" t="s">
        <v>65</v>
      </c>
      <c r="E16" s="74">
        <v>35</v>
      </c>
      <c r="F16" s="72" t="s">
        <v>301</v>
      </c>
    </row>
    <row r="17" spans="1:6" x14ac:dyDescent="0.45">
      <c r="A17" t="s">
        <v>256</v>
      </c>
      <c r="B17" s="71">
        <v>45900</v>
      </c>
      <c r="C17" t="s">
        <v>80</v>
      </c>
      <c r="D17" s="75" t="s">
        <v>62</v>
      </c>
      <c r="E17" s="74">
        <v>20</v>
      </c>
      <c r="F17" s="72" t="s">
        <v>301</v>
      </c>
    </row>
    <row r="18" spans="1:6" x14ac:dyDescent="0.45">
      <c r="A18" t="s">
        <v>257</v>
      </c>
      <c r="B18" s="71">
        <v>45900</v>
      </c>
      <c r="C18" t="s">
        <v>81</v>
      </c>
      <c r="D18" s="75" t="s">
        <v>64</v>
      </c>
      <c r="E18" s="74">
        <v>15</v>
      </c>
      <c r="F18" s="72" t="s">
        <v>301</v>
      </c>
    </row>
    <row r="19" spans="1:6" x14ac:dyDescent="0.45">
      <c r="A19" t="s">
        <v>258</v>
      </c>
      <c r="B19" s="71">
        <v>45900</v>
      </c>
      <c r="C19" t="s">
        <v>82</v>
      </c>
      <c r="D19" s="75" t="s">
        <v>65</v>
      </c>
      <c r="E19" s="74">
        <v>10</v>
      </c>
      <c r="F19" s="72" t="s">
        <v>301</v>
      </c>
    </row>
    <row r="20" spans="1:6" x14ac:dyDescent="0.45">
      <c r="A20" t="s">
        <v>259</v>
      </c>
      <c r="B20" s="71">
        <v>45900</v>
      </c>
      <c r="C20" t="s">
        <v>83</v>
      </c>
      <c r="D20" s="75" t="s">
        <v>62</v>
      </c>
      <c r="E20" s="74">
        <v>25</v>
      </c>
      <c r="F20" s="72" t="s">
        <v>301</v>
      </c>
    </row>
    <row r="21" spans="1:6" x14ac:dyDescent="0.45">
      <c r="A21" t="s">
        <v>260</v>
      </c>
      <c r="B21" s="71">
        <v>45900</v>
      </c>
      <c r="C21" t="s">
        <v>84</v>
      </c>
      <c r="D21" s="75" t="s">
        <v>64</v>
      </c>
      <c r="E21" s="74">
        <v>25</v>
      </c>
      <c r="F21" s="72" t="s">
        <v>301</v>
      </c>
    </row>
    <row r="22" spans="1:6" x14ac:dyDescent="0.45">
      <c r="A22" t="s">
        <v>261</v>
      </c>
      <c r="B22" s="71">
        <v>45900</v>
      </c>
      <c r="C22" t="s">
        <v>198</v>
      </c>
      <c r="D22" s="75" t="s">
        <v>62</v>
      </c>
      <c r="E22" s="74">
        <v>3</v>
      </c>
      <c r="F22" s="72" t="s">
        <v>301</v>
      </c>
    </row>
    <row r="23" spans="1:6" x14ac:dyDescent="0.45">
      <c r="A23" t="s">
        <v>262</v>
      </c>
      <c r="B23" s="71">
        <v>45900</v>
      </c>
      <c r="C23" t="s">
        <v>199</v>
      </c>
      <c r="D23" s="75" t="s">
        <v>64</v>
      </c>
      <c r="E23" s="74">
        <v>10</v>
      </c>
      <c r="F23" s="72" t="s">
        <v>301</v>
      </c>
    </row>
    <row r="24" spans="1:6" x14ac:dyDescent="0.45">
      <c r="A24" t="s">
        <v>263</v>
      </c>
      <c r="B24" s="71">
        <v>45900</v>
      </c>
      <c r="C24" t="s">
        <v>200</v>
      </c>
      <c r="D24" s="75" t="s">
        <v>65</v>
      </c>
      <c r="E24" s="74">
        <v>1</v>
      </c>
      <c r="F24" s="72" t="s">
        <v>301</v>
      </c>
    </row>
    <row r="25" spans="1:6" x14ac:dyDescent="0.45">
      <c r="A25" t="s">
        <v>264</v>
      </c>
      <c r="B25" s="71">
        <v>45900</v>
      </c>
      <c r="C25" t="s">
        <v>201</v>
      </c>
      <c r="D25" s="75" t="s">
        <v>62</v>
      </c>
      <c r="E25" s="74">
        <v>1</v>
      </c>
      <c r="F25" s="72" t="s">
        <v>301</v>
      </c>
    </row>
    <row r="26" spans="1:6" x14ac:dyDescent="0.45">
      <c r="A26" t="s">
        <v>265</v>
      </c>
      <c r="B26" s="71">
        <v>45900</v>
      </c>
      <c r="C26" t="s">
        <v>202</v>
      </c>
      <c r="D26" s="75" t="s">
        <v>64</v>
      </c>
      <c r="E26" s="74">
        <v>1</v>
      </c>
      <c r="F26" s="72" t="s">
        <v>301</v>
      </c>
    </row>
    <row r="27" spans="1:6" x14ac:dyDescent="0.45">
      <c r="A27" t="s">
        <v>266</v>
      </c>
      <c r="B27" s="71">
        <v>45900</v>
      </c>
      <c r="C27" t="s">
        <v>203</v>
      </c>
      <c r="D27" s="75" t="s">
        <v>65</v>
      </c>
      <c r="E27" s="74">
        <v>1</v>
      </c>
      <c r="F27" s="72" t="s">
        <v>301</v>
      </c>
    </row>
    <row r="28" spans="1:6" x14ac:dyDescent="0.45">
      <c r="A28" t="s">
        <v>267</v>
      </c>
      <c r="B28" s="71">
        <v>45900</v>
      </c>
      <c r="C28" t="s">
        <v>204</v>
      </c>
      <c r="D28" s="75" t="s">
        <v>62</v>
      </c>
      <c r="E28" s="74">
        <v>1</v>
      </c>
      <c r="F28" s="72" t="s">
        <v>301</v>
      </c>
    </row>
    <row r="29" spans="1:6" x14ac:dyDescent="0.45">
      <c r="A29" t="s">
        <v>268</v>
      </c>
      <c r="B29" s="71">
        <v>45900</v>
      </c>
      <c r="C29" t="s">
        <v>205</v>
      </c>
      <c r="D29" s="75" t="s">
        <v>64</v>
      </c>
      <c r="E29" s="74">
        <v>2</v>
      </c>
      <c r="F29" s="72" t="s">
        <v>301</v>
      </c>
    </row>
    <row r="30" spans="1:6" x14ac:dyDescent="0.45">
      <c r="A30" t="s">
        <v>269</v>
      </c>
      <c r="B30" s="71">
        <v>45900</v>
      </c>
      <c r="C30" t="s">
        <v>206</v>
      </c>
      <c r="D30" s="75" t="s">
        <v>65</v>
      </c>
      <c r="E30" s="74">
        <v>1</v>
      </c>
      <c r="F30" s="72" t="s">
        <v>301</v>
      </c>
    </row>
    <row r="31" spans="1:6" x14ac:dyDescent="0.45">
      <c r="A31" t="s">
        <v>270</v>
      </c>
      <c r="B31" s="71">
        <v>45900</v>
      </c>
      <c r="C31" t="s">
        <v>207</v>
      </c>
      <c r="D31" s="75" t="s">
        <v>62</v>
      </c>
      <c r="E31" s="74">
        <v>3</v>
      </c>
      <c r="F31" s="72" t="s">
        <v>301</v>
      </c>
    </row>
    <row r="32" spans="1:6" x14ac:dyDescent="0.45">
      <c r="A32" t="s">
        <v>271</v>
      </c>
      <c r="B32" s="71">
        <v>45900</v>
      </c>
      <c r="C32" t="s">
        <v>208</v>
      </c>
      <c r="D32" s="75" t="s">
        <v>64</v>
      </c>
      <c r="E32" s="74">
        <v>1</v>
      </c>
      <c r="F32" s="72" t="s">
        <v>301</v>
      </c>
    </row>
    <row r="33" spans="1:6" x14ac:dyDescent="0.45">
      <c r="A33" t="s">
        <v>272</v>
      </c>
      <c r="B33" s="71">
        <v>45900</v>
      </c>
      <c r="C33" t="s">
        <v>209</v>
      </c>
      <c r="D33" s="75" t="s">
        <v>65</v>
      </c>
      <c r="E33" s="74">
        <v>1</v>
      </c>
      <c r="F33" s="72" t="s">
        <v>301</v>
      </c>
    </row>
    <row r="34" spans="1:6" x14ac:dyDescent="0.45">
      <c r="A34" t="s">
        <v>273</v>
      </c>
      <c r="B34" s="71">
        <v>45900</v>
      </c>
      <c r="C34" t="s">
        <v>210</v>
      </c>
      <c r="D34" s="75" t="s">
        <v>62</v>
      </c>
      <c r="E34" s="74">
        <v>2</v>
      </c>
      <c r="F34" s="72" t="s">
        <v>301</v>
      </c>
    </row>
    <row r="35" spans="1:6" x14ac:dyDescent="0.45">
      <c r="A35" t="s">
        <v>274</v>
      </c>
      <c r="B35" s="71">
        <v>45900</v>
      </c>
      <c r="C35" t="s">
        <v>211</v>
      </c>
      <c r="D35" s="75" t="s">
        <v>64</v>
      </c>
      <c r="E35" s="74">
        <v>6</v>
      </c>
      <c r="F35" s="72" t="s">
        <v>301</v>
      </c>
    </row>
    <row r="36" spans="1:6" x14ac:dyDescent="0.45">
      <c r="A36" t="s">
        <v>275</v>
      </c>
      <c r="B36" s="71">
        <v>45900</v>
      </c>
      <c r="C36" t="s">
        <v>212</v>
      </c>
      <c r="D36" s="75" t="s">
        <v>65</v>
      </c>
      <c r="E36" s="74">
        <v>2</v>
      </c>
      <c r="F36" s="72" t="s">
        <v>301</v>
      </c>
    </row>
    <row r="37" spans="1:6" x14ac:dyDescent="0.45">
      <c r="A37" t="s">
        <v>276</v>
      </c>
      <c r="B37" s="71">
        <v>45900</v>
      </c>
      <c r="C37" t="s">
        <v>213</v>
      </c>
      <c r="D37" s="75" t="s">
        <v>62</v>
      </c>
      <c r="E37" s="74">
        <v>2</v>
      </c>
      <c r="F37" s="72" t="s">
        <v>301</v>
      </c>
    </row>
    <row r="38" spans="1:6" x14ac:dyDescent="0.45">
      <c r="A38" t="s">
        <v>277</v>
      </c>
      <c r="B38" s="71">
        <v>45900</v>
      </c>
      <c r="C38" t="s">
        <v>214</v>
      </c>
      <c r="D38" s="75" t="s">
        <v>64</v>
      </c>
      <c r="E38" s="74">
        <v>2</v>
      </c>
      <c r="F38" s="72" t="s">
        <v>301</v>
      </c>
    </row>
    <row r="39" spans="1:6" x14ac:dyDescent="0.45">
      <c r="A39" t="s">
        <v>278</v>
      </c>
      <c r="B39" s="71">
        <v>45900</v>
      </c>
      <c r="C39" t="s">
        <v>215</v>
      </c>
      <c r="D39" s="75" t="s">
        <v>65</v>
      </c>
      <c r="E39" s="74">
        <v>5</v>
      </c>
      <c r="F39" s="72" t="s">
        <v>301</v>
      </c>
    </row>
    <row r="40" spans="1:6" x14ac:dyDescent="0.45">
      <c r="A40" t="s">
        <v>279</v>
      </c>
      <c r="B40" s="71">
        <v>45900</v>
      </c>
      <c r="C40" t="s">
        <v>216</v>
      </c>
      <c r="D40" s="75" t="s">
        <v>62</v>
      </c>
      <c r="E40" s="74">
        <v>2</v>
      </c>
      <c r="F40" s="72" t="s">
        <v>301</v>
      </c>
    </row>
    <row r="41" spans="1:6" x14ac:dyDescent="0.45">
      <c r="A41" t="s">
        <v>280</v>
      </c>
      <c r="B41" s="71">
        <v>45900</v>
      </c>
      <c r="C41" t="s">
        <v>217</v>
      </c>
      <c r="D41" s="75" t="s">
        <v>64</v>
      </c>
      <c r="E41" s="74">
        <v>3</v>
      </c>
      <c r="F41" s="72" t="s">
        <v>301</v>
      </c>
    </row>
    <row r="42" spans="1:6" x14ac:dyDescent="0.45">
      <c r="A42" t="s">
        <v>281</v>
      </c>
      <c r="B42" s="71">
        <v>45900</v>
      </c>
      <c r="C42" t="s">
        <v>218</v>
      </c>
      <c r="D42" s="75" t="s">
        <v>65</v>
      </c>
      <c r="E42" s="74">
        <v>2</v>
      </c>
      <c r="F42" s="72" t="s">
        <v>301</v>
      </c>
    </row>
    <row r="43" spans="1:6" x14ac:dyDescent="0.45">
      <c r="A43" t="s">
        <v>282</v>
      </c>
      <c r="B43" s="71">
        <v>45900</v>
      </c>
      <c r="C43" t="s">
        <v>219</v>
      </c>
      <c r="D43" s="75" t="s">
        <v>62</v>
      </c>
      <c r="E43" s="74">
        <v>3</v>
      </c>
      <c r="F43" s="72" t="s">
        <v>301</v>
      </c>
    </row>
    <row r="44" spans="1:6" x14ac:dyDescent="0.45">
      <c r="A44" t="s">
        <v>283</v>
      </c>
      <c r="B44" s="71">
        <v>45900</v>
      </c>
      <c r="C44" t="s">
        <v>220</v>
      </c>
      <c r="D44" s="75" t="s">
        <v>64</v>
      </c>
      <c r="E44" s="74">
        <v>3</v>
      </c>
      <c r="F44" s="72" t="s">
        <v>301</v>
      </c>
    </row>
    <row r="45" spans="1:6" x14ac:dyDescent="0.45">
      <c r="A45" t="s">
        <v>284</v>
      </c>
      <c r="B45" s="71">
        <v>45900</v>
      </c>
      <c r="C45" t="s">
        <v>221</v>
      </c>
      <c r="D45" s="75" t="s">
        <v>65</v>
      </c>
      <c r="E45" s="74">
        <v>4</v>
      </c>
      <c r="F45" s="72" t="s">
        <v>301</v>
      </c>
    </row>
    <row r="46" spans="1:6" x14ac:dyDescent="0.45">
      <c r="A46" t="s">
        <v>285</v>
      </c>
      <c r="B46" s="71">
        <v>45900</v>
      </c>
      <c r="C46" t="s">
        <v>222</v>
      </c>
      <c r="D46" s="75" t="s">
        <v>62</v>
      </c>
      <c r="E46" s="74">
        <v>4</v>
      </c>
      <c r="F46" s="72" t="s">
        <v>301</v>
      </c>
    </row>
    <row r="47" spans="1:6" x14ac:dyDescent="0.45">
      <c r="A47" t="s">
        <v>286</v>
      </c>
      <c r="B47" s="71">
        <v>45900</v>
      </c>
      <c r="C47" t="s">
        <v>223</v>
      </c>
      <c r="D47" s="75" t="s">
        <v>64</v>
      </c>
      <c r="E47" s="74">
        <v>4</v>
      </c>
      <c r="F47" s="72" t="s">
        <v>301</v>
      </c>
    </row>
    <row r="48" spans="1:6" x14ac:dyDescent="0.45">
      <c r="A48" t="s">
        <v>287</v>
      </c>
      <c r="B48" s="71">
        <v>45900</v>
      </c>
      <c r="C48" t="s">
        <v>224</v>
      </c>
      <c r="D48" s="75" t="s">
        <v>65</v>
      </c>
      <c r="E48" s="74">
        <v>8</v>
      </c>
      <c r="F48" s="72" t="s">
        <v>301</v>
      </c>
    </row>
    <row r="49" spans="1:6" x14ac:dyDescent="0.45">
      <c r="A49" t="s">
        <v>288</v>
      </c>
      <c r="B49" s="71">
        <v>45900</v>
      </c>
      <c r="C49" t="s">
        <v>225</v>
      </c>
      <c r="D49" s="75" t="s">
        <v>62</v>
      </c>
      <c r="E49" s="74">
        <v>2</v>
      </c>
      <c r="F49" s="72" t="s">
        <v>301</v>
      </c>
    </row>
    <row r="50" spans="1:6" x14ac:dyDescent="0.45">
      <c r="A50" t="s">
        <v>289</v>
      </c>
      <c r="B50" s="71">
        <v>45900</v>
      </c>
      <c r="C50" t="s">
        <v>226</v>
      </c>
      <c r="D50" s="75" t="s">
        <v>64</v>
      </c>
      <c r="E50" s="74">
        <v>2</v>
      </c>
      <c r="F50" s="72" t="s">
        <v>301</v>
      </c>
    </row>
    <row r="51" spans="1:6" x14ac:dyDescent="0.45">
      <c r="A51" t="s">
        <v>290</v>
      </c>
      <c r="B51" s="71">
        <v>45900</v>
      </c>
      <c r="C51" t="s">
        <v>227</v>
      </c>
      <c r="D51" s="75" t="s">
        <v>65</v>
      </c>
      <c r="E51" s="74">
        <v>3</v>
      </c>
      <c r="F51" s="72" t="s">
        <v>301</v>
      </c>
    </row>
    <row r="52" spans="1:6" x14ac:dyDescent="0.45">
      <c r="A52" t="s">
        <v>291</v>
      </c>
      <c r="B52" s="71">
        <v>45901</v>
      </c>
      <c r="C52" t="s">
        <v>228</v>
      </c>
      <c r="D52" s="75" t="s">
        <v>62</v>
      </c>
      <c r="E52" s="74">
        <v>-2</v>
      </c>
      <c r="F52" s="72" t="s">
        <v>302</v>
      </c>
    </row>
    <row r="53" spans="1:6" x14ac:dyDescent="0.45">
      <c r="A53" t="s">
        <v>292</v>
      </c>
      <c r="B53" s="71">
        <v>45901</v>
      </c>
      <c r="C53" t="s">
        <v>229</v>
      </c>
      <c r="D53" s="75" t="s">
        <v>64</v>
      </c>
      <c r="E53" s="74">
        <v>-5</v>
      </c>
      <c r="F53" s="72" t="s">
        <v>302</v>
      </c>
    </row>
    <row r="54" spans="1:6" x14ac:dyDescent="0.45">
      <c r="A54" t="s">
        <v>293</v>
      </c>
      <c r="B54" s="71">
        <v>45901</v>
      </c>
      <c r="C54" t="s">
        <v>230</v>
      </c>
      <c r="D54" s="75" t="s">
        <v>65</v>
      </c>
      <c r="E54" s="74">
        <v>20</v>
      </c>
      <c r="F54" s="72" t="s">
        <v>303</v>
      </c>
    </row>
    <row r="55" spans="1:6" x14ac:dyDescent="0.45">
      <c r="A55" t="s">
        <v>294</v>
      </c>
      <c r="B55" s="71">
        <v>45902</v>
      </c>
      <c r="C55" t="s">
        <v>231</v>
      </c>
      <c r="D55" s="75" t="s">
        <v>62</v>
      </c>
      <c r="E55" s="74">
        <v>15</v>
      </c>
      <c r="F55" s="72" t="s">
        <v>303</v>
      </c>
    </row>
    <row r="56" spans="1:6" x14ac:dyDescent="0.45">
      <c r="A56" t="s">
        <v>295</v>
      </c>
      <c r="B56" s="71">
        <v>45902</v>
      </c>
      <c r="C56" t="s">
        <v>232</v>
      </c>
      <c r="D56" s="75" t="s">
        <v>62</v>
      </c>
      <c r="E56" s="74">
        <v>-3</v>
      </c>
      <c r="F56" s="72" t="s">
        <v>302</v>
      </c>
    </row>
    <row r="57" spans="1:6" x14ac:dyDescent="0.45">
      <c r="A57" t="s">
        <v>296</v>
      </c>
      <c r="B57" s="71">
        <v>45902</v>
      </c>
      <c r="C57" t="s">
        <v>233</v>
      </c>
      <c r="D57" s="75" t="s">
        <v>64</v>
      </c>
      <c r="E57" s="74">
        <v>-2</v>
      </c>
      <c r="F57" s="72" t="s">
        <v>302</v>
      </c>
    </row>
    <row r="58" spans="1:6" x14ac:dyDescent="0.45">
      <c r="A58" t="s">
        <v>297</v>
      </c>
      <c r="B58" s="71">
        <v>45903</v>
      </c>
      <c r="C58" t="s">
        <v>234</v>
      </c>
      <c r="D58" s="75" t="s">
        <v>64</v>
      </c>
      <c r="E58" s="74">
        <v>-2</v>
      </c>
      <c r="F58" s="72" t="s">
        <v>302</v>
      </c>
    </row>
    <row r="59" spans="1:6" x14ac:dyDescent="0.45">
      <c r="A59" t="s">
        <v>298</v>
      </c>
      <c r="B59" s="71">
        <v>45903</v>
      </c>
      <c r="C59" t="s">
        <v>235</v>
      </c>
      <c r="D59" s="75" t="s">
        <v>62</v>
      </c>
      <c r="E59" s="74">
        <v>-1</v>
      </c>
      <c r="F59" s="72" t="s">
        <v>302</v>
      </c>
    </row>
    <row r="60" spans="1:6" x14ac:dyDescent="0.45">
      <c r="A60" t="s">
        <v>299</v>
      </c>
      <c r="B60" s="71">
        <v>45903</v>
      </c>
      <c r="C60" t="s">
        <v>236</v>
      </c>
      <c r="D60" s="75" t="s">
        <v>65</v>
      </c>
      <c r="E60" s="74">
        <v>-4</v>
      </c>
      <c r="F60" s="72" t="s">
        <v>302</v>
      </c>
    </row>
    <row r="61" spans="1:6" x14ac:dyDescent="0.45">
      <c r="A61" t="s">
        <v>300</v>
      </c>
      <c r="B61" s="71">
        <v>45904</v>
      </c>
      <c r="C61" t="s">
        <v>237</v>
      </c>
      <c r="D61" s="75" t="s">
        <v>64</v>
      </c>
      <c r="E61" s="74">
        <v>10</v>
      </c>
      <c r="F61" s="72" t="s">
        <v>303</v>
      </c>
    </row>
  </sheetData>
  <phoneticPr fontId="10" type="noConversion"/>
  <dataValidations count="1">
    <dataValidation type="list" allowBlank="1" showInputMessage="1" showErrorMessage="1" sqref="C2:C61" xr:uid="{8442A689-EFD5-4F1D-8E71-3A321F89ED08}">
      <formula1>ProductList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117B-FF42-4F16-ADB2-30D23F9CACA2}">
  <sheetPr>
    <tabColor theme="7" tint="0.39997558519241921"/>
  </sheetPr>
  <dimension ref="A1:J61"/>
  <sheetViews>
    <sheetView tabSelected="1" topLeftCell="B1" workbookViewId="0">
      <selection activeCell="G18" sqref="G18"/>
    </sheetView>
  </sheetViews>
  <sheetFormatPr defaultRowHeight="14.25" x14ac:dyDescent="0.45"/>
  <cols>
    <col min="1" max="1" width="10.59765625" customWidth="1"/>
    <col min="2" max="2" width="10.9296875" customWidth="1"/>
    <col min="3" max="6" width="30.19921875" bestFit="1" customWidth="1"/>
    <col min="7" max="7" width="16.6640625" customWidth="1"/>
    <col min="8" max="8" width="12.3984375" customWidth="1"/>
    <col min="9" max="9" width="9.46484375" customWidth="1"/>
    <col min="10" max="10" width="11.86328125" customWidth="1"/>
  </cols>
  <sheetData>
    <row r="1" spans="1:10" x14ac:dyDescent="0.45">
      <c r="A1" s="76" t="s">
        <v>85</v>
      </c>
      <c r="B1" s="76" t="s">
        <v>60</v>
      </c>
      <c r="C1" s="77" t="s">
        <v>92</v>
      </c>
      <c r="D1" s="77" t="s">
        <v>93</v>
      </c>
      <c r="E1" s="76" t="s">
        <v>86</v>
      </c>
      <c r="F1" s="76" t="s">
        <v>87</v>
      </c>
      <c r="G1" s="76" t="s">
        <v>88</v>
      </c>
      <c r="H1" s="76" t="s">
        <v>89</v>
      </c>
      <c r="I1" s="76" t="s">
        <v>90</v>
      </c>
      <c r="J1" s="76" t="s">
        <v>91</v>
      </c>
    </row>
    <row r="2" spans="1:10" x14ac:dyDescent="0.45">
      <c r="A2" s="78" t="s">
        <v>62</v>
      </c>
      <c r="B2" s="78" t="s">
        <v>63</v>
      </c>
      <c r="C2" t="str">
        <f>_xlfn.XLOOKUP(Inventory[[#This Row],[ProductID]],Products[ProductID],Products[Product Name],"Not Found")</f>
        <v>Industrial Safety Gloves</v>
      </c>
      <c r="D2" t="str">
        <f>_xlfn.XLOOKUP(Inventory[[#This Row],[ProductID]],Products[ProductID],Products[Supplier],"Not Found")</f>
        <v>NorthStar Industrial Supply</v>
      </c>
      <c r="E2">
        <f>_xlfn.XLOOKUP(Inventory[[#This Row],[ProductID]],Products[ProductID],Products[Cost/Unit],"Not Found")</f>
        <v>12.5</v>
      </c>
      <c r="F2" t="str">
        <f>_xlfn.XLOOKUP(Inventory[[#This Row],[ProductID]],Products[ProductID],Products[Reorder Level],"Not Found")</f>
        <v>Reorder Level</v>
      </c>
      <c r="G2">
        <f>SUMIFS(Transactions[Quantity],Transactions[ProductID],Inventory[[#This Row],[ProductID]],Transactions[Site],Inventory[[#This Row],[Site]])</f>
        <v>50</v>
      </c>
      <c r="H2">
        <f>Inventory[[#This Row],[Cost/Unit]]*Inventory[[#This Row],[QuantityOnHand]]</f>
        <v>625</v>
      </c>
      <c r="I2" t="str">
        <f>IF(Inventory[[#This Row],[QuantityOnHand]]&lt;=Inventory[[#This Row],[Reorder Level]],"Yes","No")</f>
        <v>Yes</v>
      </c>
    </row>
    <row r="3" spans="1:10" x14ac:dyDescent="0.45">
      <c r="A3" s="78" t="s">
        <v>64</v>
      </c>
      <c r="B3" s="78" t="s">
        <v>63</v>
      </c>
      <c r="C3" t="str">
        <f>_xlfn.XLOOKUP(Inventory[[#This Row],[ProductID]],Products[ProductID],Products[Product Name],"Not Found")</f>
        <v>Industrial Safety Gloves</v>
      </c>
      <c r="D3" t="str">
        <f>_xlfn.XLOOKUP(Inventory[[#This Row],[ProductID]],Products[ProductID],Products[Supplier],"Not Found")</f>
        <v>NorthStar Industrial Supply</v>
      </c>
      <c r="E3">
        <f>_xlfn.XLOOKUP(Inventory[[#This Row],[ProductID]],Products[ProductID],Products[Cost/Unit],"Not Found")</f>
        <v>12.5</v>
      </c>
      <c r="F3" t="str">
        <f>_xlfn.XLOOKUP(Inventory[[#This Row],[ProductID]],Products[ProductID],Products[Reorder Level],"Not Found")</f>
        <v>Reorder Level</v>
      </c>
      <c r="G3">
        <f>SUMIFS(Transactions[Quantity],Transactions[ProductID],Inventory[[#This Row],[ProductID]],Transactions[Site],Inventory[[#This Row],[Site]])</f>
        <v>0</v>
      </c>
      <c r="H3">
        <f>Inventory[[#This Row],[Cost/Unit]]*Inventory[[#This Row],[QuantityOnHand]]</f>
        <v>0</v>
      </c>
      <c r="I3" t="str">
        <f>IF(Inventory[[#This Row],[QuantityOnHand]]&lt;=Inventory[[#This Row],[Reorder Level]],"Yes","No")</f>
        <v>Yes</v>
      </c>
    </row>
    <row r="4" spans="1:10" x14ac:dyDescent="0.45">
      <c r="A4" s="78" t="s">
        <v>65</v>
      </c>
      <c r="B4" s="78" t="s">
        <v>63</v>
      </c>
      <c r="C4" t="str">
        <f>_xlfn.XLOOKUP(Inventory[[#This Row],[ProductID]],Products[ProductID],Products[Product Name],"Not Found")</f>
        <v>Industrial Safety Gloves</v>
      </c>
      <c r="D4" t="str">
        <f>_xlfn.XLOOKUP(Inventory[[#This Row],[ProductID]],Products[ProductID],Products[Supplier],"Not Found")</f>
        <v>NorthStar Industrial Supply</v>
      </c>
      <c r="E4">
        <f>_xlfn.XLOOKUP(Inventory[[#This Row],[ProductID]],Products[ProductID],Products[Cost/Unit],"Not Found")</f>
        <v>12.5</v>
      </c>
      <c r="F4" t="str">
        <f>_xlfn.XLOOKUP(Inventory[[#This Row],[ProductID]],Products[ProductID],Products[Reorder Level],"Not Found")</f>
        <v>Reorder Level</v>
      </c>
      <c r="G4">
        <f>SUMIFS(Transactions[Quantity],Transactions[ProductID],Inventory[[#This Row],[ProductID]],Transactions[Site],Inventory[[#This Row],[Site]])</f>
        <v>0</v>
      </c>
      <c r="H4">
        <f>Inventory[[#This Row],[Cost/Unit]]*Inventory[[#This Row],[QuantityOnHand]]</f>
        <v>0</v>
      </c>
      <c r="I4" t="str">
        <f>IF(Inventory[[#This Row],[QuantityOnHand]]&lt;=Inventory[[#This Row],[Reorder Level]],"Yes","No")</f>
        <v>Yes</v>
      </c>
    </row>
    <row r="5" spans="1:10" x14ac:dyDescent="0.45">
      <c r="A5" s="78" t="s">
        <v>62</v>
      </c>
      <c r="B5" s="78" t="s">
        <v>66</v>
      </c>
      <c r="C5" t="str">
        <f>_xlfn.XLOOKUP(Inventory[[#This Row],[ProductID]],Products[ProductID],Products[Product Name],"Not Found")</f>
        <v>Steel-Toe Work Boots</v>
      </c>
      <c r="D5" t="str">
        <f>_xlfn.XLOOKUP(Inventory[[#This Row],[ProductID]],Products[ProductID],Products[Supplier],"Not Found")</f>
        <v>ProSafe Equipment</v>
      </c>
      <c r="E5">
        <f>_xlfn.XLOOKUP(Inventory[[#This Row],[ProductID]],Products[ProductID],Products[Cost/Unit],"Not Found")</f>
        <v>85</v>
      </c>
      <c r="F5">
        <f>_xlfn.XLOOKUP(Inventory[[#This Row],[ProductID]],Products[ProductID],Products[Reorder Level],"Not Found")</f>
        <v>50</v>
      </c>
      <c r="G5">
        <f>SUMIFS(Transactions[Quantity],Transactions[ProductID],Inventory[[#This Row],[ProductID]],Transactions[Site],Inventory[[#This Row],[Site]])</f>
        <v>0</v>
      </c>
      <c r="H5">
        <f>Inventory[[#This Row],[Cost/Unit]]*Inventory[[#This Row],[QuantityOnHand]]</f>
        <v>0</v>
      </c>
      <c r="I5" t="str">
        <f>IF(Inventory[[#This Row],[QuantityOnHand]]&lt;=Inventory[[#This Row],[Reorder Level]],"Yes","No")</f>
        <v>Yes</v>
      </c>
    </row>
    <row r="6" spans="1:10" x14ac:dyDescent="0.45">
      <c r="A6" s="78" t="s">
        <v>64</v>
      </c>
      <c r="B6" s="78" t="s">
        <v>66</v>
      </c>
      <c r="C6" t="str">
        <f>_xlfn.XLOOKUP(Inventory[[#This Row],[ProductID]],Products[ProductID],Products[Product Name],"Not Found")</f>
        <v>Steel-Toe Work Boots</v>
      </c>
      <c r="D6" t="str">
        <f>_xlfn.XLOOKUP(Inventory[[#This Row],[ProductID]],Products[ProductID],Products[Supplier],"Not Found")</f>
        <v>ProSafe Equipment</v>
      </c>
      <c r="E6">
        <f>_xlfn.XLOOKUP(Inventory[[#This Row],[ProductID]],Products[ProductID],Products[Cost/Unit],"Not Found")</f>
        <v>85</v>
      </c>
      <c r="F6">
        <f>_xlfn.XLOOKUP(Inventory[[#This Row],[ProductID]],Products[ProductID],Products[Reorder Level],"Not Found")</f>
        <v>50</v>
      </c>
      <c r="G6">
        <f>SUMIFS(Transactions[Quantity],Transactions[ProductID],Inventory[[#This Row],[ProductID]],Transactions[Site],Inventory[[#This Row],[Site]])</f>
        <v>30</v>
      </c>
      <c r="H6">
        <f>Inventory[[#This Row],[Cost/Unit]]*Inventory[[#This Row],[QuantityOnHand]]</f>
        <v>2550</v>
      </c>
      <c r="I6" t="str">
        <f>IF(Inventory[[#This Row],[QuantityOnHand]]&lt;=Inventory[[#This Row],[Reorder Level]],"Yes","No")</f>
        <v>Yes</v>
      </c>
    </row>
    <row r="7" spans="1:10" x14ac:dyDescent="0.45">
      <c r="A7" s="78" t="s">
        <v>65</v>
      </c>
      <c r="B7" s="78" t="s">
        <v>66</v>
      </c>
      <c r="C7" t="str">
        <f>_xlfn.XLOOKUP(Inventory[[#This Row],[ProductID]],Products[ProductID],Products[Product Name],"Not Found")</f>
        <v>Steel-Toe Work Boots</v>
      </c>
      <c r="D7" t="str">
        <f>_xlfn.XLOOKUP(Inventory[[#This Row],[ProductID]],Products[ProductID],Products[Supplier],"Not Found")</f>
        <v>ProSafe Equipment</v>
      </c>
      <c r="E7">
        <f>_xlfn.XLOOKUP(Inventory[[#This Row],[ProductID]],Products[ProductID],Products[Cost/Unit],"Not Found")</f>
        <v>85</v>
      </c>
      <c r="F7">
        <f>_xlfn.XLOOKUP(Inventory[[#This Row],[ProductID]],Products[ProductID],Products[Reorder Level],"Not Found")</f>
        <v>50</v>
      </c>
      <c r="G7">
        <f>SUMIFS(Transactions[Quantity],Transactions[ProductID],Inventory[[#This Row],[ProductID]],Transactions[Site],Inventory[[#This Row],[Site]])</f>
        <v>0</v>
      </c>
      <c r="H7">
        <f>Inventory[[#This Row],[Cost/Unit]]*Inventory[[#This Row],[QuantityOnHand]]</f>
        <v>0</v>
      </c>
      <c r="I7" t="str">
        <f>IF(Inventory[[#This Row],[QuantityOnHand]]&lt;=Inventory[[#This Row],[Reorder Level]],"Yes","No")</f>
        <v>Yes</v>
      </c>
    </row>
    <row r="8" spans="1:10" x14ac:dyDescent="0.45">
      <c r="A8" s="78" t="s">
        <v>62</v>
      </c>
      <c r="B8" s="78" t="s">
        <v>67</v>
      </c>
      <c r="C8" t="str">
        <f>_xlfn.XLOOKUP(Inventory[[#This Row],[ProductID]],Products[ProductID],Products[Product Name],"Not Found")</f>
        <v>Safety Glasses</v>
      </c>
      <c r="D8" t="str">
        <f>_xlfn.XLOOKUP(Inventory[[#This Row],[ProductID]],Products[ProductID],Products[Supplier],"Not Found")</f>
        <v>Guardian Safety Products</v>
      </c>
      <c r="E8">
        <f>_xlfn.XLOOKUP(Inventory[[#This Row],[ProductID]],Products[ProductID],Products[Cost/Unit],"Not Found")</f>
        <v>4.25</v>
      </c>
      <c r="F8">
        <f>_xlfn.XLOOKUP(Inventory[[#This Row],[ProductID]],Products[ProductID],Products[Reorder Level],"Not Found")</f>
        <v>15</v>
      </c>
      <c r="G8">
        <f>SUMIFS(Transactions[Quantity],Transactions[ProductID],Inventory[[#This Row],[ProductID]],Transactions[Site],Inventory[[#This Row],[Site]])</f>
        <v>0</v>
      </c>
      <c r="H8">
        <f>Inventory[[#This Row],[Cost/Unit]]*Inventory[[#This Row],[QuantityOnHand]]</f>
        <v>0</v>
      </c>
      <c r="I8" t="str">
        <f>IF(Inventory[[#This Row],[QuantityOnHand]]&lt;=Inventory[[#This Row],[Reorder Level]],"Yes","No")</f>
        <v>Yes</v>
      </c>
    </row>
    <row r="9" spans="1:10" x14ac:dyDescent="0.45">
      <c r="A9" s="78" t="s">
        <v>64</v>
      </c>
      <c r="B9" s="78" t="s">
        <v>67</v>
      </c>
      <c r="C9" t="str">
        <f>_xlfn.XLOOKUP(Inventory[[#This Row],[ProductID]],Products[ProductID],Products[Product Name],"Not Found")</f>
        <v>Safety Glasses</v>
      </c>
      <c r="D9" t="str">
        <f>_xlfn.XLOOKUP(Inventory[[#This Row],[ProductID]],Products[ProductID],Products[Supplier],"Not Found")</f>
        <v>Guardian Safety Products</v>
      </c>
      <c r="E9">
        <f>_xlfn.XLOOKUP(Inventory[[#This Row],[ProductID]],Products[ProductID],Products[Cost/Unit],"Not Found")</f>
        <v>4.25</v>
      </c>
      <c r="F9">
        <f>_xlfn.XLOOKUP(Inventory[[#This Row],[ProductID]],Products[ProductID],Products[Reorder Level],"Not Found")</f>
        <v>15</v>
      </c>
      <c r="G9">
        <f>SUMIFS(Transactions[Quantity],Transactions[ProductID],Inventory[[#This Row],[ProductID]],Transactions[Site],Inventory[[#This Row],[Site]])</f>
        <v>0</v>
      </c>
      <c r="H9">
        <f>Inventory[[#This Row],[Cost/Unit]]*Inventory[[#This Row],[QuantityOnHand]]</f>
        <v>0</v>
      </c>
      <c r="I9" t="str">
        <f>IF(Inventory[[#This Row],[QuantityOnHand]]&lt;=Inventory[[#This Row],[Reorder Level]],"Yes","No")</f>
        <v>Yes</v>
      </c>
    </row>
    <row r="10" spans="1:10" x14ac:dyDescent="0.45">
      <c r="A10" s="78" t="s">
        <v>65</v>
      </c>
      <c r="B10" s="78" t="s">
        <v>67</v>
      </c>
      <c r="C10" t="str">
        <f>_xlfn.XLOOKUP(Inventory[[#This Row],[ProductID]],Products[ProductID],Products[Product Name],"Not Found")</f>
        <v>Safety Glasses</v>
      </c>
      <c r="D10" t="str">
        <f>_xlfn.XLOOKUP(Inventory[[#This Row],[ProductID]],Products[ProductID],Products[Supplier],"Not Found")</f>
        <v>Guardian Safety Products</v>
      </c>
      <c r="E10">
        <f>_xlfn.XLOOKUP(Inventory[[#This Row],[ProductID]],Products[ProductID],Products[Cost/Unit],"Not Found")</f>
        <v>4.25</v>
      </c>
      <c r="F10">
        <f>_xlfn.XLOOKUP(Inventory[[#This Row],[ProductID]],Products[ProductID],Products[Reorder Level],"Not Found")</f>
        <v>15</v>
      </c>
      <c r="G10">
        <f>SUMIFS(Transactions[Quantity],Transactions[ProductID],Inventory[[#This Row],[ProductID]],Transactions[Site],Inventory[[#This Row],[Site]])</f>
        <v>40</v>
      </c>
      <c r="H10">
        <f>Inventory[[#This Row],[Cost/Unit]]*Inventory[[#This Row],[QuantityOnHand]]</f>
        <v>170</v>
      </c>
      <c r="I10" t="str">
        <f>IF(Inventory[[#This Row],[QuantityOnHand]]&lt;=Inventory[[#This Row],[Reorder Level]],"Yes","No")</f>
        <v>No</v>
      </c>
    </row>
    <row r="11" spans="1:10" x14ac:dyDescent="0.45">
      <c r="A11" s="78" t="s">
        <v>62</v>
      </c>
      <c r="B11" s="78" t="s">
        <v>68</v>
      </c>
      <c r="C11" t="str">
        <f>_xlfn.XLOOKUP(Inventory[[#This Row],[ProductID]],Products[ProductID],Products[Product Name],"Not Found")</f>
        <v>High-Visibility Safety Vest</v>
      </c>
      <c r="D11" t="str">
        <f>_xlfn.XLOOKUP(Inventory[[#This Row],[ProductID]],Products[ProductID],Products[Supplier],"Not Found")</f>
        <v>WorkShield Canada</v>
      </c>
      <c r="E11">
        <f>_xlfn.XLOOKUP(Inventory[[#This Row],[ProductID]],Products[ProductID],Products[Cost/Unit],"Not Found")</f>
        <v>9.75</v>
      </c>
      <c r="F11">
        <f>_xlfn.XLOOKUP(Inventory[[#This Row],[ProductID]],Products[ProductID],Products[Reorder Level],"Not Found")</f>
        <v>25</v>
      </c>
      <c r="G11">
        <f>SUMIFS(Transactions[Quantity],Transactions[ProductID],Inventory[[#This Row],[ProductID]],Transactions[Site],Inventory[[#This Row],[Site]])</f>
        <v>12</v>
      </c>
      <c r="H11">
        <f>Inventory[[#This Row],[Cost/Unit]]*Inventory[[#This Row],[QuantityOnHand]]</f>
        <v>117</v>
      </c>
      <c r="I11" t="str">
        <f>IF(Inventory[[#This Row],[QuantityOnHand]]&lt;=Inventory[[#This Row],[Reorder Level]],"Yes","No")</f>
        <v>Yes</v>
      </c>
    </row>
    <row r="12" spans="1:10" x14ac:dyDescent="0.45">
      <c r="A12" s="78" t="s">
        <v>64</v>
      </c>
      <c r="B12" s="78" t="s">
        <v>68</v>
      </c>
      <c r="C12" t="str">
        <f>_xlfn.XLOOKUP(Inventory[[#This Row],[ProductID]],Products[ProductID],Products[Product Name],"Not Found")</f>
        <v>High-Visibility Safety Vest</v>
      </c>
      <c r="D12" t="str">
        <f>_xlfn.XLOOKUP(Inventory[[#This Row],[ProductID]],Products[ProductID],Products[Supplier],"Not Found")</f>
        <v>WorkShield Canada</v>
      </c>
      <c r="E12">
        <f>_xlfn.XLOOKUP(Inventory[[#This Row],[ProductID]],Products[ProductID],Products[Cost/Unit],"Not Found")</f>
        <v>9.75</v>
      </c>
      <c r="F12">
        <f>_xlfn.XLOOKUP(Inventory[[#This Row],[ProductID]],Products[ProductID],Products[Reorder Level],"Not Found")</f>
        <v>25</v>
      </c>
      <c r="G12">
        <f>SUMIFS(Transactions[Quantity],Transactions[ProductID],Inventory[[#This Row],[ProductID]],Transactions[Site],Inventory[[#This Row],[Site]])</f>
        <v>0</v>
      </c>
      <c r="H12">
        <f>Inventory[[#This Row],[Cost/Unit]]*Inventory[[#This Row],[QuantityOnHand]]</f>
        <v>0</v>
      </c>
      <c r="I12" t="str">
        <f>IF(Inventory[[#This Row],[QuantityOnHand]]&lt;=Inventory[[#This Row],[Reorder Level]],"Yes","No")</f>
        <v>Yes</v>
      </c>
    </row>
    <row r="13" spans="1:10" x14ac:dyDescent="0.45">
      <c r="A13" s="78" t="s">
        <v>65</v>
      </c>
      <c r="B13" s="78" t="s">
        <v>68</v>
      </c>
      <c r="C13" t="str">
        <f>_xlfn.XLOOKUP(Inventory[[#This Row],[ProductID]],Products[ProductID],Products[Product Name],"Not Found")</f>
        <v>High-Visibility Safety Vest</v>
      </c>
      <c r="D13" t="str">
        <f>_xlfn.XLOOKUP(Inventory[[#This Row],[ProductID]],Products[ProductID],Products[Supplier],"Not Found")</f>
        <v>WorkShield Canada</v>
      </c>
      <c r="E13">
        <f>_xlfn.XLOOKUP(Inventory[[#This Row],[ProductID]],Products[ProductID],Products[Cost/Unit],"Not Found")</f>
        <v>9.75</v>
      </c>
      <c r="F13">
        <f>_xlfn.XLOOKUP(Inventory[[#This Row],[ProductID]],Products[ProductID],Products[Reorder Level],"Not Found")</f>
        <v>25</v>
      </c>
      <c r="G13">
        <f>SUMIFS(Transactions[Quantity],Transactions[ProductID],Inventory[[#This Row],[ProductID]],Transactions[Site],Inventory[[#This Row],[Site]])</f>
        <v>0</v>
      </c>
      <c r="H13">
        <f>Inventory[[#This Row],[Cost/Unit]]*Inventory[[#This Row],[QuantityOnHand]]</f>
        <v>0</v>
      </c>
      <c r="I13" t="str">
        <f>IF(Inventory[[#This Row],[QuantityOnHand]]&lt;=Inventory[[#This Row],[Reorder Level]],"Yes","No")</f>
        <v>Yes</v>
      </c>
    </row>
    <row r="14" spans="1:10" x14ac:dyDescent="0.45">
      <c r="A14" s="78" t="s">
        <v>62</v>
      </c>
      <c r="B14" s="78" t="s">
        <v>69</v>
      </c>
      <c r="C14" t="str">
        <f>_xlfn.XLOOKUP(Inventory[[#This Row],[ProductID]],Products[ProductID],Products[Product Name],"Not Found")</f>
        <v>Hard Hat - Yellow</v>
      </c>
      <c r="D14" t="str">
        <f>_xlfn.XLOOKUP(Inventory[[#This Row],[ProductID]],Products[ProductID],Products[Supplier],"Not Found")</f>
        <v>ProSafe Equipment</v>
      </c>
      <c r="E14">
        <f>_xlfn.XLOOKUP(Inventory[[#This Row],[ProductID]],Products[ProductID],Products[Cost/Unit],"Not Found")</f>
        <v>14.5</v>
      </c>
      <c r="F14">
        <f>_xlfn.XLOOKUP(Inventory[[#This Row],[ProductID]],Products[ProductID],Products[Reorder Level],"Not Found")</f>
        <v>30</v>
      </c>
      <c r="G14">
        <f>SUMIFS(Transactions[Quantity],Transactions[ProductID],Inventory[[#This Row],[ProductID]],Transactions[Site],Inventory[[#This Row],[Site]])</f>
        <v>0</v>
      </c>
      <c r="H14">
        <f>Inventory[[#This Row],[Cost/Unit]]*Inventory[[#This Row],[QuantityOnHand]]</f>
        <v>0</v>
      </c>
      <c r="I14" t="str">
        <f>IF(Inventory[[#This Row],[QuantityOnHand]]&lt;=Inventory[[#This Row],[Reorder Level]],"Yes","No")</f>
        <v>Yes</v>
      </c>
    </row>
    <row r="15" spans="1:10" x14ac:dyDescent="0.45">
      <c r="A15" s="78" t="s">
        <v>64</v>
      </c>
      <c r="B15" s="78" t="s">
        <v>69</v>
      </c>
      <c r="C15" t="str">
        <f>_xlfn.XLOOKUP(Inventory[[#This Row],[ProductID]],Products[ProductID],Products[Product Name],"Not Found")</f>
        <v>Hard Hat - Yellow</v>
      </c>
      <c r="D15" t="str">
        <f>_xlfn.XLOOKUP(Inventory[[#This Row],[ProductID]],Products[ProductID],Products[Supplier],"Not Found")</f>
        <v>ProSafe Equipment</v>
      </c>
      <c r="E15">
        <f>_xlfn.XLOOKUP(Inventory[[#This Row],[ProductID]],Products[ProductID],Products[Cost/Unit],"Not Found")</f>
        <v>14.5</v>
      </c>
      <c r="F15">
        <f>_xlfn.XLOOKUP(Inventory[[#This Row],[ProductID]],Products[ProductID],Products[Reorder Level],"Not Found")</f>
        <v>30</v>
      </c>
      <c r="G15">
        <f>SUMIFS(Transactions[Quantity],Transactions[ProductID],Inventory[[#This Row],[ProductID]],Transactions[Site],Inventory[[#This Row],[Site]])</f>
        <v>20</v>
      </c>
      <c r="H15">
        <f>Inventory[[#This Row],[Cost/Unit]]*Inventory[[#This Row],[QuantityOnHand]]</f>
        <v>290</v>
      </c>
      <c r="I15" t="str">
        <f>IF(Inventory[[#This Row],[QuantityOnHand]]&lt;=Inventory[[#This Row],[Reorder Level]],"Yes","No")</f>
        <v>Yes</v>
      </c>
    </row>
    <row r="16" spans="1:10" x14ac:dyDescent="0.45">
      <c r="A16" s="78" t="s">
        <v>65</v>
      </c>
      <c r="B16" s="78" t="s">
        <v>69</v>
      </c>
      <c r="C16" t="str">
        <f>_xlfn.XLOOKUP(Inventory[[#This Row],[ProductID]],Products[ProductID],Products[Product Name],"Not Found")</f>
        <v>Hard Hat - Yellow</v>
      </c>
      <c r="D16" t="str">
        <f>_xlfn.XLOOKUP(Inventory[[#This Row],[ProductID]],Products[ProductID],Products[Supplier],"Not Found")</f>
        <v>ProSafe Equipment</v>
      </c>
      <c r="E16">
        <f>_xlfn.XLOOKUP(Inventory[[#This Row],[ProductID]],Products[ProductID],Products[Cost/Unit],"Not Found")</f>
        <v>14.5</v>
      </c>
      <c r="F16">
        <f>_xlfn.XLOOKUP(Inventory[[#This Row],[ProductID]],Products[ProductID],Products[Reorder Level],"Not Found")</f>
        <v>30</v>
      </c>
      <c r="G16">
        <f>SUMIFS(Transactions[Quantity],Transactions[ProductID],Inventory[[#This Row],[ProductID]],Transactions[Site],Inventory[[#This Row],[Site]])</f>
        <v>0</v>
      </c>
      <c r="H16">
        <f>Inventory[[#This Row],[Cost/Unit]]*Inventory[[#This Row],[QuantityOnHand]]</f>
        <v>0</v>
      </c>
      <c r="I16" t="str">
        <f>IF(Inventory[[#This Row],[QuantityOnHand]]&lt;=Inventory[[#This Row],[Reorder Level]],"Yes","No")</f>
        <v>Yes</v>
      </c>
    </row>
    <row r="17" spans="1:9" x14ac:dyDescent="0.45">
      <c r="A17" s="78" t="s">
        <v>62</v>
      </c>
      <c r="B17" s="78" t="s">
        <v>70</v>
      </c>
      <c r="C17" t="str">
        <f>_xlfn.XLOOKUP(Inventory[[#This Row],[ProductID]],Products[ProductID],Products[Product Name],"Not Found")</f>
        <v>Ear Protection Earmuffs</v>
      </c>
      <c r="D17" t="str">
        <f>_xlfn.XLOOKUP(Inventory[[#This Row],[ProductID]],Products[ProductID],Products[Supplier],"Not Found")</f>
        <v>Guardian Safety Products</v>
      </c>
      <c r="E17">
        <f>_xlfn.XLOOKUP(Inventory[[#This Row],[ProductID]],Products[ProductID],Products[Cost/Unit],"Not Found")</f>
        <v>18</v>
      </c>
      <c r="F17">
        <f>_xlfn.XLOOKUP(Inventory[[#This Row],[ProductID]],Products[ProductID],Products[Reorder Level],"Not Found")</f>
        <v>20</v>
      </c>
      <c r="G17">
        <f>SUMIFS(Transactions[Quantity],Transactions[ProductID],Inventory[[#This Row],[ProductID]],Transactions[Site],Inventory[[#This Row],[Site]])</f>
        <v>0</v>
      </c>
      <c r="H17">
        <f>Inventory[[#This Row],[Cost/Unit]]*Inventory[[#This Row],[QuantityOnHand]]</f>
        <v>0</v>
      </c>
      <c r="I17" t="str">
        <f>IF(Inventory[[#This Row],[QuantityOnHand]]&lt;=Inventory[[#This Row],[Reorder Level]],"Yes","No")</f>
        <v>Yes</v>
      </c>
    </row>
    <row r="18" spans="1:9" x14ac:dyDescent="0.45">
      <c r="A18" s="78" t="s">
        <v>64</v>
      </c>
      <c r="B18" s="78" t="s">
        <v>70</v>
      </c>
      <c r="C18" t="str">
        <f>_xlfn.XLOOKUP(Inventory[[#This Row],[ProductID]],Products[ProductID],Products[Product Name],"Not Found")</f>
        <v>Ear Protection Earmuffs</v>
      </c>
      <c r="D18" t="str">
        <f>_xlfn.XLOOKUP(Inventory[[#This Row],[ProductID]],Products[ProductID],Products[Supplier],"Not Found")</f>
        <v>Guardian Safety Products</v>
      </c>
      <c r="E18">
        <f>_xlfn.XLOOKUP(Inventory[[#This Row],[ProductID]],Products[ProductID],Products[Cost/Unit],"Not Found")</f>
        <v>18</v>
      </c>
      <c r="F18">
        <f>_xlfn.XLOOKUP(Inventory[[#This Row],[ProductID]],Products[ProductID],Products[Reorder Level],"Not Found")</f>
        <v>20</v>
      </c>
      <c r="G18">
        <f>SUMIFS(Transactions[Quantity],Transactions[ProductID],Inventory[[#This Row],[ProductID]],Transactions[Site],Inventory[[#This Row],[Site]])</f>
        <v>0</v>
      </c>
      <c r="H18">
        <f>Inventory[[#This Row],[Cost/Unit]]*Inventory[[#This Row],[QuantityOnHand]]</f>
        <v>0</v>
      </c>
      <c r="I18" t="str">
        <f>IF(Inventory[[#This Row],[QuantityOnHand]]&lt;=Inventory[[#This Row],[Reorder Level]],"Yes","No")</f>
        <v>Yes</v>
      </c>
    </row>
    <row r="19" spans="1:9" x14ac:dyDescent="0.45">
      <c r="A19" s="78" t="s">
        <v>65</v>
      </c>
      <c r="B19" s="78" t="s">
        <v>70</v>
      </c>
      <c r="C19" t="str">
        <f>_xlfn.XLOOKUP(Inventory[[#This Row],[ProductID]],Products[ProductID],Products[Product Name],"Not Found")</f>
        <v>Ear Protection Earmuffs</v>
      </c>
      <c r="D19" t="str">
        <f>_xlfn.XLOOKUP(Inventory[[#This Row],[ProductID]],Products[ProductID],Products[Supplier],"Not Found")</f>
        <v>Guardian Safety Products</v>
      </c>
      <c r="E19">
        <f>_xlfn.XLOOKUP(Inventory[[#This Row],[ProductID]],Products[ProductID],Products[Cost/Unit],"Not Found")</f>
        <v>18</v>
      </c>
      <c r="F19">
        <f>_xlfn.XLOOKUP(Inventory[[#This Row],[ProductID]],Products[ProductID],Products[Reorder Level],"Not Found")</f>
        <v>20</v>
      </c>
      <c r="G19">
        <f>SUMIFS(Transactions[Quantity],Transactions[ProductID],Inventory[[#This Row],[ProductID]],Transactions[Site],Inventory[[#This Row],[Site]])</f>
        <v>14</v>
      </c>
      <c r="H19">
        <f>Inventory[[#This Row],[Cost/Unit]]*Inventory[[#This Row],[QuantityOnHand]]</f>
        <v>252</v>
      </c>
      <c r="I19" t="str">
        <f>IF(Inventory[[#This Row],[QuantityOnHand]]&lt;=Inventory[[#This Row],[Reorder Level]],"Yes","No")</f>
        <v>Yes</v>
      </c>
    </row>
    <row r="20" spans="1:9" x14ac:dyDescent="0.45">
      <c r="A20" s="78" t="s">
        <v>62</v>
      </c>
      <c r="B20" s="78" t="s">
        <v>71</v>
      </c>
      <c r="C20" t="str">
        <f>_xlfn.XLOOKUP(Inventory[[#This Row],[ProductID]],Products[ProductID],Products[Product Name],"Not Found")</f>
        <v>Disposable Dust Mask</v>
      </c>
      <c r="D20" t="str">
        <f>_xlfn.XLOOKUP(Inventory[[#This Row],[ProductID]],Products[ProductID],Products[Supplier],"Not Found")</f>
        <v>NorthStar Industrial Supply</v>
      </c>
      <c r="E20">
        <f>_xlfn.XLOOKUP(Inventory[[#This Row],[ProductID]],Products[ProductID],Products[Cost/Unit],"Not Found")</f>
        <v>6.25</v>
      </c>
      <c r="F20">
        <f>_xlfn.XLOOKUP(Inventory[[#This Row],[ProductID]],Products[ProductID],Products[Reorder Level],"Not Found")</f>
        <v>15</v>
      </c>
      <c r="G20">
        <f>SUMIFS(Transactions[Quantity],Transactions[ProductID],Inventory[[#This Row],[ProductID]],Transactions[Site],Inventory[[#This Row],[Site]])</f>
        <v>25</v>
      </c>
      <c r="H20">
        <f>Inventory[[#This Row],[Cost/Unit]]*Inventory[[#This Row],[QuantityOnHand]]</f>
        <v>156.25</v>
      </c>
      <c r="I20" t="str">
        <f>IF(Inventory[[#This Row],[QuantityOnHand]]&lt;=Inventory[[#This Row],[Reorder Level]],"Yes","No")</f>
        <v>No</v>
      </c>
    </row>
    <row r="21" spans="1:9" x14ac:dyDescent="0.45">
      <c r="A21" s="78" t="s">
        <v>64</v>
      </c>
      <c r="B21" s="78" t="s">
        <v>71</v>
      </c>
      <c r="C21" t="str">
        <f>_xlfn.XLOOKUP(Inventory[[#This Row],[ProductID]],Products[ProductID],Products[Product Name],"Not Found")</f>
        <v>Disposable Dust Mask</v>
      </c>
      <c r="D21" t="str">
        <f>_xlfn.XLOOKUP(Inventory[[#This Row],[ProductID]],Products[ProductID],Products[Supplier],"Not Found")</f>
        <v>NorthStar Industrial Supply</v>
      </c>
      <c r="E21">
        <f>_xlfn.XLOOKUP(Inventory[[#This Row],[ProductID]],Products[ProductID],Products[Cost/Unit],"Not Found")</f>
        <v>6.25</v>
      </c>
      <c r="F21">
        <f>_xlfn.XLOOKUP(Inventory[[#This Row],[ProductID]],Products[ProductID],Products[Reorder Level],"Not Found")</f>
        <v>15</v>
      </c>
      <c r="G21">
        <f>SUMIFS(Transactions[Quantity],Transactions[ProductID],Inventory[[#This Row],[ProductID]],Transactions[Site],Inventory[[#This Row],[Site]])</f>
        <v>0</v>
      </c>
      <c r="H21">
        <f>Inventory[[#This Row],[Cost/Unit]]*Inventory[[#This Row],[QuantityOnHand]]</f>
        <v>0</v>
      </c>
      <c r="I21" t="str">
        <f>IF(Inventory[[#This Row],[QuantityOnHand]]&lt;=Inventory[[#This Row],[Reorder Level]],"Yes","No")</f>
        <v>Yes</v>
      </c>
    </row>
    <row r="22" spans="1:9" x14ac:dyDescent="0.45">
      <c r="A22" s="78" t="s">
        <v>65</v>
      </c>
      <c r="B22" s="78" t="s">
        <v>71</v>
      </c>
      <c r="C22" t="str">
        <f>_xlfn.XLOOKUP(Inventory[[#This Row],[ProductID]],Products[ProductID],Products[Product Name],"Not Found")</f>
        <v>Disposable Dust Mask</v>
      </c>
      <c r="D22" t="str">
        <f>_xlfn.XLOOKUP(Inventory[[#This Row],[ProductID]],Products[ProductID],Products[Supplier],"Not Found")</f>
        <v>NorthStar Industrial Supply</v>
      </c>
      <c r="E22">
        <f>_xlfn.XLOOKUP(Inventory[[#This Row],[ProductID]],Products[ProductID],Products[Cost/Unit],"Not Found")</f>
        <v>6.25</v>
      </c>
      <c r="F22">
        <f>_xlfn.XLOOKUP(Inventory[[#This Row],[ProductID]],Products[ProductID],Products[Reorder Level],"Not Found")</f>
        <v>15</v>
      </c>
      <c r="G22">
        <f>SUMIFS(Transactions[Quantity],Transactions[ProductID],Inventory[[#This Row],[ProductID]],Transactions[Site],Inventory[[#This Row],[Site]])</f>
        <v>0</v>
      </c>
      <c r="H22">
        <f>Inventory[[#This Row],[Cost/Unit]]*Inventory[[#This Row],[QuantityOnHand]]</f>
        <v>0</v>
      </c>
      <c r="I22" t="str">
        <f>IF(Inventory[[#This Row],[QuantityOnHand]]&lt;=Inventory[[#This Row],[Reorder Level]],"Yes","No")</f>
        <v>Yes</v>
      </c>
    </row>
    <row r="23" spans="1:9" x14ac:dyDescent="0.45">
      <c r="A23" s="78" t="s">
        <v>62</v>
      </c>
      <c r="B23" s="78" t="s">
        <v>72</v>
      </c>
      <c r="C23" t="str">
        <f>_xlfn.XLOOKUP(Inventory[[#This Row],[ProductID]],Products[ProductID],Products[Product Name],"Not Found")</f>
        <v>Cut-Resistant Gloves</v>
      </c>
      <c r="D23" t="str">
        <f>_xlfn.XLOOKUP(Inventory[[#This Row],[ProductID]],Products[ProductID],Products[Supplier],"Not Found")</f>
        <v>WorkShield Canada</v>
      </c>
      <c r="E23">
        <f>_xlfn.XLOOKUP(Inventory[[#This Row],[ProductID]],Products[ProductID],Products[Cost/Unit],"Not Found")</f>
        <v>11.5</v>
      </c>
      <c r="F23">
        <f>_xlfn.XLOOKUP(Inventory[[#This Row],[ProductID]],Products[ProductID],Products[Reorder Level],"Not Found")</f>
        <v>40</v>
      </c>
      <c r="G23">
        <f>SUMIFS(Transactions[Quantity],Transactions[ProductID],Inventory[[#This Row],[ProductID]],Transactions[Site],Inventory[[#This Row],[Site]])</f>
        <v>0</v>
      </c>
      <c r="H23">
        <f>Inventory[[#This Row],[Cost/Unit]]*Inventory[[#This Row],[QuantityOnHand]]</f>
        <v>0</v>
      </c>
      <c r="I23" t="str">
        <f>IF(Inventory[[#This Row],[QuantityOnHand]]&lt;=Inventory[[#This Row],[Reorder Level]],"Yes","No")</f>
        <v>Yes</v>
      </c>
    </row>
    <row r="24" spans="1:9" x14ac:dyDescent="0.45">
      <c r="A24" s="78" t="s">
        <v>64</v>
      </c>
      <c r="B24" s="78" t="s">
        <v>72</v>
      </c>
      <c r="C24" t="str">
        <f>_xlfn.XLOOKUP(Inventory[[#This Row],[ProductID]],Products[ProductID],Products[Product Name],"Not Found")</f>
        <v>Cut-Resistant Gloves</v>
      </c>
      <c r="D24" t="str">
        <f>_xlfn.XLOOKUP(Inventory[[#This Row],[ProductID]],Products[ProductID],Products[Supplier],"Not Found")</f>
        <v>WorkShield Canada</v>
      </c>
      <c r="E24">
        <f>_xlfn.XLOOKUP(Inventory[[#This Row],[ProductID]],Products[ProductID],Products[Cost/Unit],"Not Found")</f>
        <v>11.5</v>
      </c>
      <c r="F24">
        <f>_xlfn.XLOOKUP(Inventory[[#This Row],[ProductID]],Products[ProductID],Products[Reorder Level],"Not Found")</f>
        <v>40</v>
      </c>
      <c r="G24">
        <f>SUMIFS(Transactions[Quantity],Transactions[ProductID],Inventory[[#This Row],[ProductID]],Transactions[Site],Inventory[[#This Row],[Site]])</f>
        <v>30</v>
      </c>
      <c r="H24">
        <f>Inventory[[#This Row],[Cost/Unit]]*Inventory[[#This Row],[QuantityOnHand]]</f>
        <v>345</v>
      </c>
      <c r="I24" t="str">
        <f>IF(Inventory[[#This Row],[QuantityOnHand]]&lt;=Inventory[[#This Row],[Reorder Level]],"Yes","No")</f>
        <v>Yes</v>
      </c>
    </row>
    <row r="25" spans="1:9" x14ac:dyDescent="0.45">
      <c r="A25" s="78" t="s">
        <v>65</v>
      </c>
      <c r="B25" s="78" t="s">
        <v>72</v>
      </c>
      <c r="C25" t="str">
        <f>_xlfn.XLOOKUP(Inventory[[#This Row],[ProductID]],Products[ProductID],Products[Product Name],"Not Found")</f>
        <v>Cut-Resistant Gloves</v>
      </c>
      <c r="D25" t="str">
        <f>_xlfn.XLOOKUP(Inventory[[#This Row],[ProductID]],Products[ProductID],Products[Supplier],"Not Found")</f>
        <v>WorkShield Canada</v>
      </c>
      <c r="E25">
        <f>_xlfn.XLOOKUP(Inventory[[#This Row],[ProductID]],Products[ProductID],Products[Cost/Unit],"Not Found")</f>
        <v>11.5</v>
      </c>
      <c r="F25">
        <f>_xlfn.XLOOKUP(Inventory[[#This Row],[ProductID]],Products[ProductID],Products[Reorder Level],"Not Found")</f>
        <v>40</v>
      </c>
      <c r="G25">
        <f>SUMIFS(Transactions[Quantity],Transactions[ProductID],Inventory[[#This Row],[ProductID]],Transactions[Site],Inventory[[#This Row],[Site]])</f>
        <v>0</v>
      </c>
      <c r="H25">
        <f>Inventory[[#This Row],[Cost/Unit]]*Inventory[[#This Row],[QuantityOnHand]]</f>
        <v>0</v>
      </c>
      <c r="I25" t="str">
        <f>IF(Inventory[[#This Row],[QuantityOnHand]]&lt;=Inventory[[#This Row],[Reorder Level]],"Yes","No")</f>
        <v>Yes</v>
      </c>
    </row>
    <row r="26" spans="1:9" x14ac:dyDescent="0.45">
      <c r="A26" s="78" t="s">
        <v>62</v>
      </c>
      <c r="B26" s="78" t="s">
        <v>73</v>
      </c>
      <c r="C26" t="str">
        <f>_xlfn.XLOOKUP(Inventory[[#This Row],[ProductID]],Products[ProductID],Products[Product Name],"Not Found")</f>
        <v>Aluminum Step Ladder</v>
      </c>
      <c r="D26" t="str">
        <f>_xlfn.XLOOKUP(Inventory[[#This Row],[ProductID]],Products[ProductID],Products[Supplier],"Not Found")</f>
        <v>Maple Industrial Supply</v>
      </c>
      <c r="E26">
        <f>_xlfn.XLOOKUP(Inventory[[#This Row],[ProductID]],Products[ProductID],Products[Cost/Unit],"Not Found")</f>
        <v>89</v>
      </c>
      <c r="F26">
        <f>_xlfn.XLOOKUP(Inventory[[#This Row],[ProductID]],Products[ProductID],Products[Reorder Level],"Not Found")</f>
        <v>25</v>
      </c>
      <c r="G26">
        <f>SUMIFS(Transactions[Quantity],Transactions[ProductID],Inventory[[#This Row],[ProductID]],Transactions[Site],Inventory[[#This Row],[Site]])</f>
        <v>0</v>
      </c>
      <c r="H26">
        <f>Inventory[[#This Row],[Cost/Unit]]*Inventory[[#This Row],[QuantityOnHand]]</f>
        <v>0</v>
      </c>
      <c r="I26" t="str">
        <f>IF(Inventory[[#This Row],[QuantityOnHand]]&lt;=Inventory[[#This Row],[Reorder Level]],"Yes","No")</f>
        <v>Yes</v>
      </c>
    </row>
    <row r="27" spans="1:9" x14ac:dyDescent="0.45">
      <c r="A27" s="78" t="s">
        <v>64</v>
      </c>
      <c r="B27" s="78" t="s">
        <v>73</v>
      </c>
      <c r="C27" t="str">
        <f>_xlfn.XLOOKUP(Inventory[[#This Row],[ProductID]],Products[ProductID],Products[Product Name],"Not Found")</f>
        <v>Aluminum Step Ladder</v>
      </c>
      <c r="D27" t="str">
        <f>_xlfn.XLOOKUP(Inventory[[#This Row],[ProductID]],Products[ProductID],Products[Supplier],"Not Found")</f>
        <v>Maple Industrial Supply</v>
      </c>
      <c r="E27">
        <f>_xlfn.XLOOKUP(Inventory[[#This Row],[ProductID]],Products[ProductID],Products[Cost/Unit],"Not Found")</f>
        <v>89</v>
      </c>
      <c r="F27">
        <f>_xlfn.XLOOKUP(Inventory[[#This Row],[ProductID]],Products[ProductID],Products[Reorder Level],"Not Found")</f>
        <v>25</v>
      </c>
      <c r="G27">
        <f>SUMIFS(Transactions[Quantity],Transactions[ProductID],Inventory[[#This Row],[ProductID]],Transactions[Site],Inventory[[#This Row],[Site]])</f>
        <v>0</v>
      </c>
      <c r="H27">
        <f>Inventory[[#This Row],[Cost/Unit]]*Inventory[[#This Row],[QuantityOnHand]]</f>
        <v>0</v>
      </c>
      <c r="I27" t="str">
        <f>IF(Inventory[[#This Row],[QuantityOnHand]]&lt;=Inventory[[#This Row],[Reorder Level]],"Yes","No")</f>
        <v>Yes</v>
      </c>
    </row>
    <row r="28" spans="1:9" x14ac:dyDescent="0.45">
      <c r="A28" s="78" t="s">
        <v>65</v>
      </c>
      <c r="B28" s="78" t="s">
        <v>73</v>
      </c>
      <c r="C28" t="str">
        <f>_xlfn.XLOOKUP(Inventory[[#This Row],[ProductID]],Products[ProductID],Products[Product Name],"Not Found")</f>
        <v>Aluminum Step Ladder</v>
      </c>
      <c r="D28" t="str">
        <f>_xlfn.XLOOKUP(Inventory[[#This Row],[ProductID]],Products[ProductID],Products[Supplier],"Not Found")</f>
        <v>Maple Industrial Supply</v>
      </c>
      <c r="E28">
        <f>_xlfn.XLOOKUP(Inventory[[#This Row],[ProductID]],Products[ProductID],Products[Cost/Unit],"Not Found")</f>
        <v>89</v>
      </c>
      <c r="F28">
        <f>_xlfn.XLOOKUP(Inventory[[#This Row],[ProductID]],Products[ProductID],Products[Reorder Level],"Not Found")</f>
        <v>25</v>
      </c>
      <c r="G28">
        <f>SUMIFS(Transactions[Quantity],Transactions[ProductID],Inventory[[#This Row],[ProductID]],Transactions[Site],Inventory[[#This Row],[Site]])</f>
        <v>10</v>
      </c>
      <c r="H28">
        <f>Inventory[[#This Row],[Cost/Unit]]*Inventory[[#This Row],[QuantityOnHand]]</f>
        <v>890</v>
      </c>
      <c r="I28" t="str">
        <f>IF(Inventory[[#This Row],[QuantityOnHand]]&lt;=Inventory[[#This Row],[Reorder Level]],"Yes","No")</f>
        <v>Yes</v>
      </c>
    </row>
    <row r="29" spans="1:9" x14ac:dyDescent="0.45">
      <c r="A29" s="78" t="s">
        <v>62</v>
      </c>
      <c r="B29" s="78" t="s">
        <v>74</v>
      </c>
      <c r="C29" t="str">
        <f>_xlfn.XLOOKUP(Inventory[[#This Row],[ProductID]],Products[ProductID],Products[Product Name],"Not Found")</f>
        <v>Platform Hand Truck</v>
      </c>
      <c r="D29" t="str">
        <f>_xlfn.XLOOKUP(Inventory[[#This Row],[ProductID]],Products[ProductID],Products[Supplier],"Not Found")</f>
        <v>Northern Material Handling</v>
      </c>
      <c r="E29">
        <f>_xlfn.XLOOKUP(Inventory[[#This Row],[ProductID]],Products[ProductID],Products[Cost/Unit],"Not Found")</f>
        <v>125</v>
      </c>
      <c r="F29">
        <f>_xlfn.XLOOKUP(Inventory[[#This Row],[ProductID]],Products[ProductID],Products[Reorder Level],"Not Found")</f>
        <v>5</v>
      </c>
      <c r="G29">
        <f>SUMIFS(Transactions[Quantity],Transactions[ProductID],Inventory[[#This Row],[ProductID]],Transactions[Site],Inventory[[#This Row],[Site]])</f>
        <v>35</v>
      </c>
      <c r="H29">
        <f>Inventory[[#This Row],[Cost/Unit]]*Inventory[[#This Row],[QuantityOnHand]]</f>
        <v>4375</v>
      </c>
      <c r="I29" t="str">
        <f>IF(Inventory[[#This Row],[QuantityOnHand]]&lt;=Inventory[[#This Row],[Reorder Level]],"Yes","No")</f>
        <v>No</v>
      </c>
    </row>
    <row r="30" spans="1:9" x14ac:dyDescent="0.45">
      <c r="A30" s="78" t="s">
        <v>64</v>
      </c>
      <c r="B30" s="78" t="s">
        <v>74</v>
      </c>
      <c r="C30" t="str">
        <f>_xlfn.XLOOKUP(Inventory[[#This Row],[ProductID]],Products[ProductID],Products[Product Name],"Not Found")</f>
        <v>Platform Hand Truck</v>
      </c>
      <c r="D30" t="str">
        <f>_xlfn.XLOOKUP(Inventory[[#This Row],[ProductID]],Products[ProductID],Products[Supplier],"Not Found")</f>
        <v>Northern Material Handling</v>
      </c>
      <c r="E30">
        <f>_xlfn.XLOOKUP(Inventory[[#This Row],[ProductID]],Products[ProductID],Products[Cost/Unit],"Not Found")</f>
        <v>125</v>
      </c>
      <c r="F30">
        <f>_xlfn.XLOOKUP(Inventory[[#This Row],[ProductID]],Products[ProductID],Products[Reorder Level],"Not Found")</f>
        <v>5</v>
      </c>
      <c r="G30">
        <f>SUMIFS(Transactions[Quantity],Transactions[ProductID],Inventory[[#This Row],[ProductID]],Transactions[Site],Inventory[[#This Row],[Site]])</f>
        <v>0</v>
      </c>
      <c r="H30">
        <f>Inventory[[#This Row],[Cost/Unit]]*Inventory[[#This Row],[QuantityOnHand]]</f>
        <v>0</v>
      </c>
      <c r="I30" t="str">
        <f>IF(Inventory[[#This Row],[QuantityOnHand]]&lt;=Inventory[[#This Row],[Reorder Level]],"Yes","No")</f>
        <v>Yes</v>
      </c>
    </row>
    <row r="31" spans="1:9" x14ac:dyDescent="0.45">
      <c r="A31" s="78" t="s">
        <v>65</v>
      </c>
      <c r="B31" s="78" t="s">
        <v>74</v>
      </c>
      <c r="C31" t="str">
        <f>_xlfn.XLOOKUP(Inventory[[#This Row],[ProductID]],Products[ProductID],Products[Product Name],"Not Found")</f>
        <v>Platform Hand Truck</v>
      </c>
      <c r="D31" t="str">
        <f>_xlfn.XLOOKUP(Inventory[[#This Row],[ProductID]],Products[ProductID],Products[Supplier],"Not Found")</f>
        <v>Northern Material Handling</v>
      </c>
      <c r="E31">
        <f>_xlfn.XLOOKUP(Inventory[[#This Row],[ProductID]],Products[ProductID],Products[Cost/Unit],"Not Found")</f>
        <v>125</v>
      </c>
      <c r="F31">
        <f>_xlfn.XLOOKUP(Inventory[[#This Row],[ProductID]],Products[ProductID],Products[Reorder Level],"Not Found")</f>
        <v>5</v>
      </c>
      <c r="G31">
        <f>SUMIFS(Transactions[Quantity],Transactions[ProductID],Inventory[[#This Row],[ProductID]],Transactions[Site],Inventory[[#This Row],[Site]])</f>
        <v>0</v>
      </c>
      <c r="H31">
        <f>Inventory[[#This Row],[Cost/Unit]]*Inventory[[#This Row],[QuantityOnHand]]</f>
        <v>0</v>
      </c>
      <c r="I31" t="str">
        <f>IF(Inventory[[#This Row],[QuantityOnHand]]&lt;=Inventory[[#This Row],[Reorder Level]],"Yes","No")</f>
        <v>Yes</v>
      </c>
    </row>
    <row r="32" spans="1:9" x14ac:dyDescent="0.45">
      <c r="A32" s="78" t="s">
        <v>62</v>
      </c>
      <c r="B32" s="78" t="s">
        <v>75</v>
      </c>
      <c r="C32" t="str">
        <f>_xlfn.XLOOKUP(Inventory[[#This Row],[ProductID]],Products[ProductID],Products[Product Name],"Not Found")</f>
        <v>Heavy-Duty Pallet Jack</v>
      </c>
      <c r="D32" t="str">
        <f>_xlfn.XLOOKUP(Inventory[[#This Row],[ProductID]],Products[ProductID],Products[Supplier],"Not Found")</f>
        <v>Warehouse Solutions Inc.</v>
      </c>
      <c r="E32">
        <f>_xlfn.XLOOKUP(Inventory[[#This Row],[ProductID]],Products[ProductID],Products[Cost/Unit],"Not Found")</f>
        <v>475</v>
      </c>
      <c r="F32">
        <f>_xlfn.XLOOKUP(Inventory[[#This Row],[ProductID]],Products[ProductID],Products[Reorder Level],"Not Found")</f>
        <v>8</v>
      </c>
      <c r="G32">
        <f>SUMIFS(Transactions[Quantity],Transactions[ProductID],Inventory[[#This Row],[ProductID]],Transactions[Site],Inventory[[#This Row],[Site]])</f>
        <v>0</v>
      </c>
      <c r="H32">
        <f>Inventory[[#This Row],[Cost/Unit]]*Inventory[[#This Row],[QuantityOnHand]]</f>
        <v>0</v>
      </c>
      <c r="I32" t="str">
        <f>IF(Inventory[[#This Row],[QuantityOnHand]]&lt;=Inventory[[#This Row],[Reorder Level]],"Yes","No")</f>
        <v>Yes</v>
      </c>
    </row>
    <row r="33" spans="1:9" x14ac:dyDescent="0.45">
      <c r="A33" s="78" t="s">
        <v>64</v>
      </c>
      <c r="B33" s="78" t="s">
        <v>75</v>
      </c>
      <c r="C33" t="str">
        <f>_xlfn.XLOOKUP(Inventory[[#This Row],[ProductID]],Products[ProductID],Products[Product Name],"Not Found")</f>
        <v>Heavy-Duty Pallet Jack</v>
      </c>
      <c r="D33" t="str">
        <f>_xlfn.XLOOKUP(Inventory[[#This Row],[ProductID]],Products[ProductID],Products[Supplier],"Not Found")</f>
        <v>Warehouse Solutions Inc.</v>
      </c>
      <c r="E33">
        <f>_xlfn.XLOOKUP(Inventory[[#This Row],[ProductID]],Products[ProductID],Products[Cost/Unit],"Not Found")</f>
        <v>475</v>
      </c>
      <c r="F33">
        <f>_xlfn.XLOOKUP(Inventory[[#This Row],[ProductID]],Products[ProductID],Products[Reorder Level],"Not Found")</f>
        <v>8</v>
      </c>
      <c r="G33">
        <f>SUMIFS(Transactions[Quantity],Transactions[ProductID],Inventory[[#This Row],[ProductID]],Transactions[Site],Inventory[[#This Row],[Site]])</f>
        <v>25</v>
      </c>
      <c r="H33">
        <f>Inventory[[#This Row],[Cost/Unit]]*Inventory[[#This Row],[QuantityOnHand]]</f>
        <v>11875</v>
      </c>
      <c r="I33" t="str">
        <f>IF(Inventory[[#This Row],[QuantityOnHand]]&lt;=Inventory[[#This Row],[Reorder Level]],"Yes","No")</f>
        <v>No</v>
      </c>
    </row>
    <row r="34" spans="1:9" x14ac:dyDescent="0.45">
      <c r="A34" s="78" t="s">
        <v>65</v>
      </c>
      <c r="B34" s="78" t="s">
        <v>75</v>
      </c>
      <c r="C34" t="str">
        <f>_xlfn.XLOOKUP(Inventory[[#This Row],[ProductID]],Products[ProductID],Products[Product Name],"Not Found")</f>
        <v>Heavy-Duty Pallet Jack</v>
      </c>
      <c r="D34" t="str">
        <f>_xlfn.XLOOKUP(Inventory[[#This Row],[ProductID]],Products[ProductID],Products[Supplier],"Not Found")</f>
        <v>Warehouse Solutions Inc.</v>
      </c>
      <c r="E34">
        <f>_xlfn.XLOOKUP(Inventory[[#This Row],[ProductID]],Products[ProductID],Products[Cost/Unit],"Not Found")</f>
        <v>475</v>
      </c>
      <c r="F34">
        <f>_xlfn.XLOOKUP(Inventory[[#This Row],[ProductID]],Products[ProductID],Products[Reorder Level],"Not Found")</f>
        <v>8</v>
      </c>
      <c r="G34">
        <f>SUMIFS(Transactions[Quantity],Transactions[ProductID],Inventory[[#This Row],[ProductID]],Transactions[Site],Inventory[[#This Row],[Site]])</f>
        <v>0</v>
      </c>
      <c r="H34">
        <f>Inventory[[#This Row],[Cost/Unit]]*Inventory[[#This Row],[QuantityOnHand]]</f>
        <v>0</v>
      </c>
      <c r="I34" t="str">
        <f>IF(Inventory[[#This Row],[QuantityOnHand]]&lt;=Inventory[[#This Row],[Reorder Level]],"Yes","No")</f>
        <v>Yes</v>
      </c>
    </row>
    <row r="35" spans="1:9" x14ac:dyDescent="0.45">
      <c r="A35" s="78" t="s">
        <v>62</v>
      </c>
      <c r="B35" s="78" t="s">
        <v>76</v>
      </c>
      <c r="C35" t="str">
        <f>_xlfn.XLOOKUP(Inventory[[#This Row],[ProductID]],Products[ProductID],Products[Product Name],"Not Found")</f>
        <v>Steel Storage Bin</v>
      </c>
      <c r="D35" t="str">
        <f>_xlfn.XLOOKUP(Inventory[[#This Row],[ProductID]],Products[ProductID],Products[Supplier],"Not Found")</f>
        <v>Maple Industrial Supply</v>
      </c>
      <c r="E35">
        <f>_xlfn.XLOOKUP(Inventory[[#This Row],[ProductID]],Products[ProductID],Products[Cost/Unit],"Not Found")</f>
        <v>18.75</v>
      </c>
      <c r="F35">
        <f>_xlfn.XLOOKUP(Inventory[[#This Row],[ProductID]],Products[ProductID],Products[Reorder Level],"Not Found")</f>
        <v>3</v>
      </c>
      <c r="G35">
        <f>SUMIFS(Transactions[Quantity],Transactions[ProductID],Inventory[[#This Row],[ProductID]],Transactions[Site],Inventory[[#This Row],[Site]])</f>
        <v>0</v>
      </c>
      <c r="H35">
        <f>Inventory[[#This Row],[Cost/Unit]]*Inventory[[#This Row],[QuantityOnHand]]</f>
        <v>0</v>
      </c>
      <c r="I35" t="str">
        <f>IF(Inventory[[#This Row],[QuantityOnHand]]&lt;=Inventory[[#This Row],[Reorder Level]],"Yes","No")</f>
        <v>Yes</v>
      </c>
    </row>
    <row r="36" spans="1:9" x14ac:dyDescent="0.45">
      <c r="A36" s="78" t="s">
        <v>64</v>
      </c>
      <c r="B36" s="78" t="s">
        <v>76</v>
      </c>
      <c r="C36" t="str">
        <f>_xlfn.XLOOKUP(Inventory[[#This Row],[ProductID]],Products[ProductID],Products[Product Name],"Not Found")</f>
        <v>Steel Storage Bin</v>
      </c>
      <c r="D36" t="str">
        <f>_xlfn.XLOOKUP(Inventory[[#This Row],[ProductID]],Products[ProductID],Products[Supplier],"Not Found")</f>
        <v>Maple Industrial Supply</v>
      </c>
      <c r="E36">
        <f>_xlfn.XLOOKUP(Inventory[[#This Row],[ProductID]],Products[ProductID],Products[Cost/Unit],"Not Found")</f>
        <v>18.75</v>
      </c>
      <c r="F36">
        <f>_xlfn.XLOOKUP(Inventory[[#This Row],[ProductID]],Products[ProductID],Products[Reorder Level],"Not Found")</f>
        <v>3</v>
      </c>
      <c r="G36">
        <f>SUMIFS(Transactions[Quantity],Transactions[ProductID],Inventory[[#This Row],[ProductID]],Transactions[Site],Inventory[[#This Row],[Site]])</f>
        <v>0</v>
      </c>
      <c r="H36">
        <f>Inventory[[#This Row],[Cost/Unit]]*Inventory[[#This Row],[QuantityOnHand]]</f>
        <v>0</v>
      </c>
      <c r="I36" t="str">
        <f>IF(Inventory[[#This Row],[QuantityOnHand]]&lt;=Inventory[[#This Row],[Reorder Level]],"Yes","No")</f>
        <v>Yes</v>
      </c>
    </row>
    <row r="37" spans="1:9" x14ac:dyDescent="0.45">
      <c r="A37" s="78" t="s">
        <v>65</v>
      </c>
      <c r="B37" s="78" t="s">
        <v>76</v>
      </c>
      <c r="C37" t="str">
        <f>_xlfn.XLOOKUP(Inventory[[#This Row],[ProductID]],Products[ProductID],Products[Product Name],"Not Found")</f>
        <v>Steel Storage Bin</v>
      </c>
      <c r="D37" t="str">
        <f>_xlfn.XLOOKUP(Inventory[[#This Row],[ProductID]],Products[ProductID],Products[Supplier],"Not Found")</f>
        <v>Maple Industrial Supply</v>
      </c>
      <c r="E37">
        <f>_xlfn.XLOOKUP(Inventory[[#This Row],[ProductID]],Products[ProductID],Products[Cost/Unit],"Not Found")</f>
        <v>18.75</v>
      </c>
      <c r="F37">
        <f>_xlfn.XLOOKUP(Inventory[[#This Row],[ProductID]],Products[ProductID],Products[Reorder Level],"Not Found")</f>
        <v>3</v>
      </c>
      <c r="G37">
        <f>SUMIFS(Transactions[Quantity],Transactions[ProductID],Inventory[[#This Row],[ProductID]],Transactions[Site],Inventory[[#This Row],[Site]])</f>
        <v>18</v>
      </c>
      <c r="H37">
        <f>Inventory[[#This Row],[Cost/Unit]]*Inventory[[#This Row],[QuantityOnHand]]</f>
        <v>337.5</v>
      </c>
      <c r="I37" t="str">
        <f>IF(Inventory[[#This Row],[QuantityOnHand]]&lt;=Inventory[[#This Row],[Reorder Level]],"Yes","No")</f>
        <v>No</v>
      </c>
    </row>
    <row r="38" spans="1:9" x14ac:dyDescent="0.45">
      <c r="A38" s="78" t="s">
        <v>62</v>
      </c>
      <c r="B38" s="78" t="s">
        <v>77</v>
      </c>
      <c r="C38" t="str">
        <f>_xlfn.XLOOKUP(Inventory[[#This Row],[ProductID]],Products[ProductID],Products[Product Name],"Not Found")</f>
        <v>Plastic Parts Bin</v>
      </c>
      <c r="D38" t="str">
        <f>_xlfn.XLOOKUP(Inventory[[#This Row],[ProductID]],Products[ProductID],Products[Supplier],"Not Found")</f>
        <v>StoragePro Canada</v>
      </c>
      <c r="E38">
        <f>_xlfn.XLOOKUP(Inventory[[#This Row],[ProductID]],Products[ProductID],Products[Cost/Unit],"Not Found")</f>
        <v>6.5</v>
      </c>
      <c r="F38">
        <f>_xlfn.XLOOKUP(Inventory[[#This Row],[ProductID]],Products[ProductID],Products[Reorder Level],"Not Found")</f>
        <v>20</v>
      </c>
      <c r="G38">
        <f>SUMIFS(Transactions[Quantity],Transactions[ProductID],Inventory[[#This Row],[ProductID]],Transactions[Site],Inventory[[#This Row],[Site]])</f>
        <v>60</v>
      </c>
      <c r="H38">
        <f>Inventory[[#This Row],[Cost/Unit]]*Inventory[[#This Row],[QuantityOnHand]]</f>
        <v>390</v>
      </c>
      <c r="I38" t="str">
        <f>IF(Inventory[[#This Row],[QuantityOnHand]]&lt;=Inventory[[#This Row],[Reorder Level]],"Yes","No")</f>
        <v>No</v>
      </c>
    </row>
    <row r="39" spans="1:9" x14ac:dyDescent="0.45">
      <c r="A39" s="78" t="s">
        <v>64</v>
      </c>
      <c r="B39" s="78" t="s">
        <v>77</v>
      </c>
      <c r="C39" t="str">
        <f>_xlfn.XLOOKUP(Inventory[[#This Row],[ProductID]],Products[ProductID],Products[Product Name],"Not Found")</f>
        <v>Plastic Parts Bin</v>
      </c>
      <c r="D39" t="str">
        <f>_xlfn.XLOOKUP(Inventory[[#This Row],[ProductID]],Products[ProductID],Products[Supplier],"Not Found")</f>
        <v>StoragePro Canada</v>
      </c>
      <c r="E39">
        <f>_xlfn.XLOOKUP(Inventory[[#This Row],[ProductID]],Products[ProductID],Products[Cost/Unit],"Not Found")</f>
        <v>6.5</v>
      </c>
      <c r="F39">
        <f>_xlfn.XLOOKUP(Inventory[[#This Row],[ProductID]],Products[ProductID],Products[Reorder Level],"Not Found")</f>
        <v>20</v>
      </c>
      <c r="G39">
        <f>SUMIFS(Transactions[Quantity],Transactions[ProductID],Inventory[[#This Row],[ProductID]],Transactions[Site],Inventory[[#This Row],[Site]])</f>
        <v>0</v>
      </c>
      <c r="H39">
        <f>Inventory[[#This Row],[Cost/Unit]]*Inventory[[#This Row],[QuantityOnHand]]</f>
        <v>0</v>
      </c>
      <c r="I39" t="str">
        <f>IF(Inventory[[#This Row],[QuantityOnHand]]&lt;=Inventory[[#This Row],[Reorder Level]],"Yes","No")</f>
        <v>Yes</v>
      </c>
    </row>
    <row r="40" spans="1:9" x14ac:dyDescent="0.45">
      <c r="A40" s="78" t="s">
        <v>65</v>
      </c>
      <c r="B40" s="78" t="s">
        <v>77</v>
      </c>
      <c r="C40" t="str">
        <f>_xlfn.XLOOKUP(Inventory[[#This Row],[ProductID]],Products[ProductID],Products[Product Name],"Not Found")</f>
        <v>Plastic Parts Bin</v>
      </c>
      <c r="D40" t="str">
        <f>_xlfn.XLOOKUP(Inventory[[#This Row],[ProductID]],Products[ProductID],Products[Supplier],"Not Found")</f>
        <v>StoragePro Canada</v>
      </c>
      <c r="E40">
        <f>_xlfn.XLOOKUP(Inventory[[#This Row],[ProductID]],Products[ProductID],Products[Cost/Unit],"Not Found")</f>
        <v>6.5</v>
      </c>
      <c r="F40">
        <f>_xlfn.XLOOKUP(Inventory[[#This Row],[ProductID]],Products[ProductID],Products[Reorder Level],"Not Found")</f>
        <v>20</v>
      </c>
      <c r="G40">
        <f>SUMIFS(Transactions[Quantity],Transactions[ProductID],Inventory[[#This Row],[ProductID]],Transactions[Site],Inventory[[#This Row],[Site]])</f>
        <v>0</v>
      </c>
      <c r="H40">
        <f>Inventory[[#This Row],[Cost/Unit]]*Inventory[[#This Row],[QuantityOnHand]]</f>
        <v>0</v>
      </c>
      <c r="I40" t="str">
        <f>IF(Inventory[[#This Row],[QuantityOnHand]]&lt;=Inventory[[#This Row],[Reorder Level]],"Yes","No")</f>
        <v>Yes</v>
      </c>
    </row>
    <row r="41" spans="1:9" x14ac:dyDescent="0.45">
      <c r="A41" s="78" t="s">
        <v>62</v>
      </c>
      <c r="B41" s="78" t="s">
        <v>78</v>
      </c>
      <c r="C41" t="str">
        <f>_xlfn.XLOOKUP(Inventory[[#This Row],[ProductID]],Products[ProductID],Products[Product Name],"Not Found")</f>
        <v>Wire Shelving Unit</v>
      </c>
      <c r="D41" t="str">
        <f>_xlfn.XLOOKUP(Inventory[[#This Row],[ProductID]],Products[ProductID],Products[Supplier],"Not Found")</f>
        <v>Warehouse Solutions Inc.</v>
      </c>
      <c r="E41">
        <f>_xlfn.XLOOKUP(Inventory[[#This Row],[ProductID]],Products[ProductID],Products[Cost/Unit],"Not Found")</f>
        <v>145</v>
      </c>
      <c r="F41">
        <f>_xlfn.XLOOKUP(Inventory[[#This Row],[ProductID]],Products[ProductID],Products[Reorder Level],"Not Found")</f>
        <v>30</v>
      </c>
      <c r="G41">
        <f>SUMIFS(Transactions[Quantity],Transactions[ProductID],Inventory[[#This Row],[ProductID]],Transactions[Site],Inventory[[#This Row],[Site]])</f>
        <v>0</v>
      </c>
      <c r="H41">
        <f>Inventory[[#This Row],[Cost/Unit]]*Inventory[[#This Row],[QuantityOnHand]]</f>
        <v>0</v>
      </c>
      <c r="I41" t="str">
        <f>IF(Inventory[[#This Row],[QuantityOnHand]]&lt;=Inventory[[#This Row],[Reorder Level]],"Yes","No")</f>
        <v>Yes</v>
      </c>
    </row>
    <row r="42" spans="1:9" x14ac:dyDescent="0.45">
      <c r="A42" s="78" t="s">
        <v>64</v>
      </c>
      <c r="B42" s="78" t="s">
        <v>78</v>
      </c>
      <c r="C42" t="str">
        <f>_xlfn.XLOOKUP(Inventory[[#This Row],[ProductID]],Products[ProductID],Products[Product Name],"Not Found")</f>
        <v>Wire Shelving Unit</v>
      </c>
      <c r="D42" t="str">
        <f>_xlfn.XLOOKUP(Inventory[[#This Row],[ProductID]],Products[ProductID],Products[Supplier],"Not Found")</f>
        <v>Warehouse Solutions Inc.</v>
      </c>
      <c r="E42">
        <f>_xlfn.XLOOKUP(Inventory[[#This Row],[ProductID]],Products[ProductID],Products[Cost/Unit],"Not Found")</f>
        <v>145</v>
      </c>
      <c r="F42">
        <f>_xlfn.XLOOKUP(Inventory[[#This Row],[ProductID]],Products[ProductID],Products[Reorder Level],"Not Found")</f>
        <v>30</v>
      </c>
      <c r="G42">
        <f>SUMIFS(Transactions[Quantity],Transactions[ProductID],Inventory[[#This Row],[ProductID]],Transactions[Site],Inventory[[#This Row],[Site]])</f>
        <v>50</v>
      </c>
      <c r="H42">
        <f>Inventory[[#This Row],[Cost/Unit]]*Inventory[[#This Row],[QuantityOnHand]]</f>
        <v>7250</v>
      </c>
      <c r="I42" t="str">
        <f>IF(Inventory[[#This Row],[QuantityOnHand]]&lt;=Inventory[[#This Row],[Reorder Level]],"Yes","No")</f>
        <v>No</v>
      </c>
    </row>
    <row r="43" spans="1:9" x14ac:dyDescent="0.45">
      <c r="A43" s="78" t="s">
        <v>65</v>
      </c>
      <c r="B43" s="78" t="s">
        <v>78</v>
      </c>
      <c r="C43" t="str">
        <f>_xlfn.XLOOKUP(Inventory[[#This Row],[ProductID]],Products[ProductID],Products[Product Name],"Not Found")</f>
        <v>Wire Shelving Unit</v>
      </c>
      <c r="D43" t="str">
        <f>_xlfn.XLOOKUP(Inventory[[#This Row],[ProductID]],Products[ProductID],Products[Supplier],"Not Found")</f>
        <v>Warehouse Solutions Inc.</v>
      </c>
      <c r="E43">
        <f>_xlfn.XLOOKUP(Inventory[[#This Row],[ProductID]],Products[ProductID],Products[Cost/Unit],"Not Found")</f>
        <v>145</v>
      </c>
      <c r="F43">
        <f>_xlfn.XLOOKUP(Inventory[[#This Row],[ProductID]],Products[ProductID],Products[Reorder Level],"Not Found")</f>
        <v>30</v>
      </c>
      <c r="G43">
        <f>SUMIFS(Transactions[Quantity],Transactions[ProductID],Inventory[[#This Row],[ProductID]],Transactions[Site],Inventory[[#This Row],[Site]])</f>
        <v>0</v>
      </c>
      <c r="H43">
        <f>Inventory[[#This Row],[Cost/Unit]]*Inventory[[#This Row],[QuantityOnHand]]</f>
        <v>0</v>
      </c>
      <c r="I43" t="str">
        <f>IF(Inventory[[#This Row],[QuantityOnHand]]&lt;=Inventory[[#This Row],[Reorder Level]],"Yes","No")</f>
        <v>Yes</v>
      </c>
    </row>
    <row r="44" spans="1:9" x14ac:dyDescent="0.45">
      <c r="A44" s="78" t="s">
        <v>62</v>
      </c>
      <c r="B44" s="78" t="s">
        <v>79</v>
      </c>
      <c r="C44" t="str">
        <f>_xlfn.XLOOKUP(Inventory[[#This Row],[ProductID]],Products[ProductID],Products[Product Name],"Not Found")</f>
        <v>Mobile Storage Cart</v>
      </c>
      <c r="D44" t="str">
        <f>_xlfn.XLOOKUP(Inventory[[#This Row],[ProductID]],Products[ProductID],Products[Supplier],"Not Found")</f>
        <v>Northern Material Handling</v>
      </c>
      <c r="E44">
        <f>_xlfn.XLOOKUP(Inventory[[#This Row],[ProductID]],Products[ProductID],Products[Cost/Unit],"Not Found")</f>
        <v>95</v>
      </c>
      <c r="F44">
        <f>_xlfn.XLOOKUP(Inventory[[#This Row],[ProductID]],Products[ProductID],Products[Reorder Level],"Not Found")</f>
        <v>5</v>
      </c>
      <c r="G44">
        <f>SUMIFS(Transactions[Quantity],Transactions[ProductID],Inventory[[#This Row],[ProductID]],Transactions[Site],Inventory[[#This Row],[Site]])</f>
        <v>0</v>
      </c>
      <c r="H44">
        <f>Inventory[[#This Row],[Cost/Unit]]*Inventory[[#This Row],[QuantityOnHand]]</f>
        <v>0</v>
      </c>
      <c r="I44" t="str">
        <f>IF(Inventory[[#This Row],[QuantityOnHand]]&lt;=Inventory[[#This Row],[Reorder Level]],"Yes","No")</f>
        <v>Yes</v>
      </c>
    </row>
    <row r="45" spans="1:9" x14ac:dyDescent="0.45">
      <c r="A45" s="78" t="s">
        <v>64</v>
      </c>
      <c r="B45" s="78" t="s">
        <v>79</v>
      </c>
      <c r="C45" t="str">
        <f>_xlfn.XLOOKUP(Inventory[[#This Row],[ProductID]],Products[ProductID],Products[Product Name],"Not Found")</f>
        <v>Mobile Storage Cart</v>
      </c>
      <c r="D45" t="str">
        <f>_xlfn.XLOOKUP(Inventory[[#This Row],[ProductID]],Products[ProductID],Products[Supplier],"Not Found")</f>
        <v>Northern Material Handling</v>
      </c>
      <c r="E45">
        <f>_xlfn.XLOOKUP(Inventory[[#This Row],[ProductID]],Products[ProductID],Products[Cost/Unit],"Not Found")</f>
        <v>95</v>
      </c>
      <c r="F45">
        <f>_xlfn.XLOOKUP(Inventory[[#This Row],[ProductID]],Products[ProductID],Products[Reorder Level],"Not Found")</f>
        <v>5</v>
      </c>
      <c r="G45">
        <f>SUMIFS(Transactions[Quantity],Transactions[ProductID],Inventory[[#This Row],[ProductID]],Transactions[Site],Inventory[[#This Row],[Site]])</f>
        <v>0</v>
      </c>
      <c r="H45">
        <f>Inventory[[#This Row],[Cost/Unit]]*Inventory[[#This Row],[QuantityOnHand]]</f>
        <v>0</v>
      </c>
      <c r="I45" t="str">
        <f>IF(Inventory[[#This Row],[QuantityOnHand]]&lt;=Inventory[[#This Row],[Reorder Level]],"Yes","No")</f>
        <v>Yes</v>
      </c>
    </row>
    <row r="46" spans="1:9" x14ac:dyDescent="0.45">
      <c r="A46" s="78" t="s">
        <v>65</v>
      </c>
      <c r="B46" s="78" t="s">
        <v>79</v>
      </c>
      <c r="C46" t="str">
        <f>_xlfn.XLOOKUP(Inventory[[#This Row],[ProductID]],Products[ProductID],Products[Product Name],"Not Found")</f>
        <v>Mobile Storage Cart</v>
      </c>
      <c r="D46" t="str">
        <f>_xlfn.XLOOKUP(Inventory[[#This Row],[ProductID]],Products[ProductID],Products[Supplier],"Not Found")</f>
        <v>Northern Material Handling</v>
      </c>
      <c r="E46">
        <f>_xlfn.XLOOKUP(Inventory[[#This Row],[ProductID]],Products[ProductID],Products[Cost/Unit],"Not Found")</f>
        <v>95</v>
      </c>
      <c r="F46">
        <f>_xlfn.XLOOKUP(Inventory[[#This Row],[ProductID]],Products[ProductID],Products[Reorder Level],"Not Found")</f>
        <v>5</v>
      </c>
      <c r="G46">
        <f>SUMIFS(Transactions[Quantity],Transactions[ProductID],Inventory[[#This Row],[ProductID]],Transactions[Site],Inventory[[#This Row],[Site]])</f>
        <v>35</v>
      </c>
      <c r="H46">
        <f>Inventory[[#This Row],[Cost/Unit]]*Inventory[[#This Row],[QuantityOnHand]]</f>
        <v>3325</v>
      </c>
      <c r="I46" t="str">
        <f>IF(Inventory[[#This Row],[QuantityOnHand]]&lt;=Inventory[[#This Row],[Reorder Level]],"Yes","No")</f>
        <v>No</v>
      </c>
    </row>
    <row r="47" spans="1:9" x14ac:dyDescent="0.45">
      <c r="A47" s="78" t="s">
        <v>62</v>
      </c>
      <c r="B47" s="78" t="s">
        <v>80</v>
      </c>
      <c r="C47" t="str">
        <f>_xlfn.XLOOKUP(Inventory[[#This Row],[ProductID]],Products[ProductID],Products[Product Name],"Not Found")</f>
        <v>Plastic Tote - 27 Gallon</v>
      </c>
      <c r="D47" t="str">
        <f>_xlfn.XLOOKUP(Inventory[[#This Row],[ProductID]],Products[ProductID],Products[Supplier],"Not Found")</f>
        <v>StoragePro Canada</v>
      </c>
      <c r="E47">
        <f>_xlfn.XLOOKUP(Inventory[[#This Row],[ProductID]],Products[ProductID],Products[Cost/Unit],"Not Found")</f>
        <v>22.5</v>
      </c>
      <c r="F47">
        <f>_xlfn.XLOOKUP(Inventory[[#This Row],[ProductID]],Products[ProductID],Products[Reorder Level],"Not Found")</f>
        <v>8</v>
      </c>
      <c r="G47">
        <f>SUMIFS(Transactions[Quantity],Transactions[ProductID],Inventory[[#This Row],[ProductID]],Transactions[Site],Inventory[[#This Row],[Site]])</f>
        <v>20</v>
      </c>
      <c r="H47">
        <f>Inventory[[#This Row],[Cost/Unit]]*Inventory[[#This Row],[QuantityOnHand]]</f>
        <v>450</v>
      </c>
      <c r="I47" t="str">
        <f>IF(Inventory[[#This Row],[QuantityOnHand]]&lt;=Inventory[[#This Row],[Reorder Level]],"Yes","No")</f>
        <v>No</v>
      </c>
    </row>
    <row r="48" spans="1:9" x14ac:dyDescent="0.45">
      <c r="A48" s="78" t="s">
        <v>64</v>
      </c>
      <c r="B48" s="78" t="s">
        <v>80</v>
      </c>
      <c r="C48" t="str">
        <f>_xlfn.XLOOKUP(Inventory[[#This Row],[ProductID]],Products[ProductID],Products[Product Name],"Not Found")</f>
        <v>Plastic Tote - 27 Gallon</v>
      </c>
      <c r="D48" t="str">
        <f>_xlfn.XLOOKUP(Inventory[[#This Row],[ProductID]],Products[ProductID],Products[Supplier],"Not Found")</f>
        <v>StoragePro Canada</v>
      </c>
      <c r="E48">
        <f>_xlfn.XLOOKUP(Inventory[[#This Row],[ProductID]],Products[ProductID],Products[Cost/Unit],"Not Found")</f>
        <v>22.5</v>
      </c>
      <c r="F48">
        <f>_xlfn.XLOOKUP(Inventory[[#This Row],[ProductID]],Products[ProductID],Products[Reorder Level],"Not Found")</f>
        <v>8</v>
      </c>
      <c r="G48">
        <f>SUMIFS(Transactions[Quantity],Transactions[ProductID],Inventory[[#This Row],[ProductID]],Transactions[Site],Inventory[[#This Row],[Site]])</f>
        <v>0</v>
      </c>
      <c r="H48">
        <f>Inventory[[#This Row],[Cost/Unit]]*Inventory[[#This Row],[QuantityOnHand]]</f>
        <v>0</v>
      </c>
      <c r="I48" t="str">
        <f>IF(Inventory[[#This Row],[QuantityOnHand]]&lt;=Inventory[[#This Row],[Reorder Level]],"Yes","No")</f>
        <v>Yes</v>
      </c>
    </row>
    <row r="49" spans="1:9" x14ac:dyDescent="0.45">
      <c r="A49" s="78" t="s">
        <v>65</v>
      </c>
      <c r="B49" s="78" t="s">
        <v>80</v>
      </c>
      <c r="C49" t="str">
        <f>_xlfn.XLOOKUP(Inventory[[#This Row],[ProductID]],Products[ProductID],Products[Product Name],"Not Found")</f>
        <v>Plastic Tote - 27 Gallon</v>
      </c>
      <c r="D49" t="str">
        <f>_xlfn.XLOOKUP(Inventory[[#This Row],[ProductID]],Products[ProductID],Products[Supplier],"Not Found")</f>
        <v>StoragePro Canada</v>
      </c>
      <c r="E49">
        <f>_xlfn.XLOOKUP(Inventory[[#This Row],[ProductID]],Products[ProductID],Products[Cost/Unit],"Not Found")</f>
        <v>22.5</v>
      </c>
      <c r="F49">
        <f>_xlfn.XLOOKUP(Inventory[[#This Row],[ProductID]],Products[ProductID],Products[Reorder Level],"Not Found")</f>
        <v>8</v>
      </c>
      <c r="G49">
        <f>SUMIFS(Transactions[Quantity],Transactions[ProductID],Inventory[[#This Row],[ProductID]],Transactions[Site],Inventory[[#This Row],[Site]])</f>
        <v>0</v>
      </c>
      <c r="H49">
        <f>Inventory[[#This Row],[Cost/Unit]]*Inventory[[#This Row],[QuantityOnHand]]</f>
        <v>0</v>
      </c>
      <c r="I49" t="str">
        <f>IF(Inventory[[#This Row],[QuantityOnHand]]&lt;=Inventory[[#This Row],[Reorder Level]],"Yes","No")</f>
        <v>Yes</v>
      </c>
    </row>
    <row r="50" spans="1:9" x14ac:dyDescent="0.45">
      <c r="A50" s="78" t="s">
        <v>62</v>
      </c>
      <c r="B50" s="78" t="s">
        <v>81</v>
      </c>
      <c r="C50" t="str">
        <f>_xlfn.XLOOKUP(Inventory[[#This Row],[ProductID]],Products[ProductID],Products[Product Name],"Not Found")</f>
        <v>Corrugated Shipping Box - Small</v>
      </c>
      <c r="D50" t="str">
        <f>_xlfn.XLOOKUP(Inventory[[#This Row],[ProductID]],Products[ProductID],Products[Supplier],"Not Found")</f>
        <v>PackRight Solutions</v>
      </c>
      <c r="E50">
        <f>_xlfn.XLOOKUP(Inventory[[#This Row],[ProductID]],Products[ProductID],Products[Cost/Unit],"Not Found")</f>
        <v>1.25</v>
      </c>
      <c r="F50">
        <f>_xlfn.XLOOKUP(Inventory[[#This Row],[ProductID]],Products[ProductID],Products[Reorder Level],"Not Found")</f>
        <v>15</v>
      </c>
      <c r="G50">
        <f>SUMIFS(Transactions[Quantity],Transactions[ProductID],Inventory[[#This Row],[ProductID]],Transactions[Site],Inventory[[#This Row],[Site]])</f>
        <v>0</v>
      </c>
      <c r="H50">
        <f>Inventory[[#This Row],[Cost/Unit]]*Inventory[[#This Row],[QuantityOnHand]]</f>
        <v>0</v>
      </c>
      <c r="I50" t="str">
        <f>IF(Inventory[[#This Row],[QuantityOnHand]]&lt;=Inventory[[#This Row],[Reorder Level]],"Yes","No")</f>
        <v>Yes</v>
      </c>
    </row>
    <row r="51" spans="1:9" x14ac:dyDescent="0.45">
      <c r="A51" s="78" t="s">
        <v>64</v>
      </c>
      <c r="B51" s="78" t="s">
        <v>81</v>
      </c>
      <c r="C51" t="str">
        <f>_xlfn.XLOOKUP(Inventory[[#This Row],[ProductID]],Products[ProductID],Products[Product Name],"Not Found")</f>
        <v>Corrugated Shipping Box - Small</v>
      </c>
      <c r="D51" t="str">
        <f>_xlfn.XLOOKUP(Inventory[[#This Row],[ProductID]],Products[ProductID],Products[Supplier],"Not Found")</f>
        <v>PackRight Solutions</v>
      </c>
      <c r="E51">
        <f>_xlfn.XLOOKUP(Inventory[[#This Row],[ProductID]],Products[ProductID],Products[Cost/Unit],"Not Found")</f>
        <v>1.25</v>
      </c>
      <c r="F51">
        <f>_xlfn.XLOOKUP(Inventory[[#This Row],[ProductID]],Products[ProductID],Products[Reorder Level],"Not Found")</f>
        <v>15</v>
      </c>
      <c r="G51">
        <f>SUMIFS(Transactions[Quantity],Transactions[ProductID],Inventory[[#This Row],[ProductID]],Transactions[Site],Inventory[[#This Row],[Site]])</f>
        <v>15</v>
      </c>
      <c r="H51">
        <f>Inventory[[#This Row],[Cost/Unit]]*Inventory[[#This Row],[QuantityOnHand]]</f>
        <v>18.75</v>
      </c>
      <c r="I51" t="str">
        <f>IF(Inventory[[#This Row],[QuantityOnHand]]&lt;=Inventory[[#This Row],[Reorder Level]],"Yes","No")</f>
        <v>Yes</v>
      </c>
    </row>
    <row r="52" spans="1:9" x14ac:dyDescent="0.45">
      <c r="A52" s="78" t="s">
        <v>65</v>
      </c>
      <c r="B52" s="78" t="s">
        <v>81</v>
      </c>
      <c r="C52" t="str">
        <f>_xlfn.XLOOKUP(Inventory[[#This Row],[ProductID]],Products[ProductID],Products[Product Name],"Not Found")</f>
        <v>Corrugated Shipping Box - Small</v>
      </c>
      <c r="D52" t="str">
        <f>_xlfn.XLOOKUP(Inventory[[#This Row],[ProductID]],Products[ProductID],Products[Supplier],"Not Found")</f>
        <v>PackRight Solutions</v>
      </c>
      <c r="E52">
        <f>_xlfn.XLOOKUP(Inventory[[#This Row],[ProductID]],Products[ProductID],Products[Cost/Unit],"Not Found")</f>
        <v>1.25</v>
      </c>
      <c r="F52">
        <f>_xlfn.XLOOKUP(Inventory[[#This Row],[ProductID]],Products[ProductID],Products[Reorder Level],"Not Found")</f>
        <v>15</v>
      </c>
      <c r="G52">
        <f>SUMIFS(Transactions[Quantity],Transactions[ProductID],Inventory[[#This Row],[ProductID]],Transactions[Site],Inventory[[#This Row],[Site]])</f>
        <v>0</v>
      </c>
      <c r="H52">
        <f>Inventory[[#This Row],[Cost/Unit]]*Inventory[[#This Row],[QuantityOnHand]]</f>
        <v>0</v>
      </c>
      <c r="I52" t="str">
        <f>IF(Inventory[[#This Row],[QuantityOnHand]]&lt;=Inventory[[#This Row],[Reorder Level]],"Yes","No")</f>
        <v>Yes</v>
      </c>
    </row>
    <row r="53" spans="1:9" x14ac:dyDescent="0.45">
      <c r="A53" s="78" t="s">
        <v>62</v>
      </c>
      <c r="B53" s="78" t="s">
        <v>82</v>
      </c>
      <c r="C53" t="str">
        <f>_xlfn.XLOOKUP(Inventory[[#This Row],[ProductID]],Products[ProductID],Products[Product Name],"Not Found")</f>
        <v>Corrugated Shipping Box - Medium</v>
      </c>
      <c r="D53" t="str">
        <f>_xlfn.XLOOKUP(Inventory[[#This Row],[ProductID]],Products[ProductID],Products[Supplier],"Not Found")</f>
        <v>PackRight Solutions</v>
      </c>
      <c r="E53">
        <f>_xlfn.XLOOKUP(Inventory[[#This Row],[ProductID]],Products[ProductID],Products[Cost/Unit],"Not Found")</f>
        <v>2.1</v>
      </c>
      <c r="F53">
        <f>_xlfn.XLOOKUP(Inventory[[#This Row],[ProductID]],Products[ProductID],Products[Reorder Level],"Not Found")</f>
        <v>100</v>
      </c>
      <c r="G53">
        <f>SUMIFS(Transactions[Quantity],Transactions[ProductID],Inventory[[#This Row],[ProductID]],Transactions[Site],Inventory[[#This Row],[Site]])</f>
        <v>0</v>
      </c>
      <c r="H53">
        <f>Inventory[[#This Row],[Cost/Unit]]*Inventory[[#This Row],[QuantityOnHand]]</f>
        <v>0</v>
      </c>
      <c r="I53" t="str">
        <f>IF(Inventory[[#This Row],[QuantityOnHand]]&lt;=Inventory[[#This Row],[Reorder Level]],"Yes","No")</f>
        <v>Yes</v>
      </c>
    </row>
    <row r="54" spans="1:9" x14ac:dyDescent="0.45">
      <c r="A54" s="78" t="s">
        <v>64</v>
      </c>
      <c r="B54" s="78" t="s">
        <v>82</v>
      </c>
      <c r="C54" t="str">
        <f>_xlfn.XLOOKUP(Inventory[[#This Row],[ProductID]],Products[ProductID],Products[Product Name],"Not Found")</f>
        <v>Corrugated Shipping Box - Medium</v>
      </c>
      <c r="D54" t="str">
        <f>_xlfn.XLOOKUP(Inventory[[#This Row],[ProductID]],Products[ProductID],Products[Supplier],"Not Found")</f>
        <v>PackRight Solutions</v>
      </c>
      <c r="E54">
        <f>_xlfn.XLOOKUP(Inventory[[#This Row],[ProductID]],Products[ProductID],Products[Cost/Unit],"Not Found")</f>
        <v>2.1</v>
      </c>
      <c r="F54">
        <f>_xlfn.XLOOKUP(Inventory[[#This Row],[ProductID]],Products[ProductID],Products[Reorder Level],"Not Found")</f>
        <v>100</v>
      </c>
      <c r="G54">
        <f>SUMIFS(Transactions[Quantity],Transactions[ProductID],Inventory[[#This Row],[ProductID]],Transactions[Site],Inventory[[#This Row],[Site]])</f>
        <v>0</v>
      </c>
      <c r="H54">
        <f>Inventory[[#This Row],[Cost/Unit]]*Inventory[[#This Row],[QuantityOnHand]]</f>
        <v>0</v>
      </c>
      <c r="I54" t="str">
        <f>IF(Inventory[[#This Row],[QuantityOnHand]]&lt;=Inventory[[#This Row],[Reorder Level]],"Yes","No")</f>
        <v>Yes</v>
      </c>
    </row>
    <row r="55" spans="1:9" x14ac:dyDescent="0.45">
      <c r="A55" s="78" t="s">
        <v>65</v>
      </c>
      <c r="B55" s="78" t="s">
        <v>82</v>
      </c>
      <c r="C55" t="str">
        <f>_xlfn.XLOOKUP(Inventory[[#This Row],[ProductID]],Products[ProductID],Products[Product Name],"Not Found")</f>
        <v>Corrugated Shipping Box - Medium</v>
      </c>
      <c r="D55" t="str">
        <f>_xlfn.XLOOKUP(Inventory[[#This Row],[ProductID]],Products[ProductID],Products[Supplier],"Not Found")</f>
        <v>PackRight Solutions</v>
      </c>
      <c r="E55">
        <f>_xlfn.XLOOKUP(Inventory[[#This Row],[ProductID]],Products[ProductID],Products[Cost/Unit],"Not Found")</f>
        <v>2.1</v>
      </c>
      <c r="F55">
        <f>_xlfn.XLOOKUP(Inventory[[#This Row],[ProductID]],Products[ProductID],Products[Reorder Level],"Not Found")</f>
        <v>100</v>
      </c>
      <c r="G55">
        <f>SUMIFS(Transactions[Quantity],Transactions[ProductID],Inventory[[#This Row],[ProductID]],Transactions[Site],Inventory[[#This Row],[Site]])</f>
        <v>10</v>
      </c>
      <c r="H55">
        <f>Inventory[[#This Row],[Cost/Unit]]*Inventory[[#This Row],[QuantityOnHand]]</f>
        <v>21</v>
      </c>
      <c r="I55" t="str">
        <f>IF(Inventory[[#This Row],[QuantityOnHand]]&lt;=Inventory[[#This Row],[Reorder Level]],"Yes","No")</f>
        <v>Yes</v>
      </c>
    </row>
    <row r="56" spans="1:9" x14ac:dyDescent="0.45">
      <c r="A56" s="78" t="s">
        <v>62</v>
      </c>
      <c r="B56" s="78" t="s">
        <v>83</v>
      </c>
      <c r="C56" t="str">
        <f>_xlfn.XLOOKUP(Inventory[[#This Row],[ProductID]],Products[ProductID],Products[Product Name],"Not Found")</f>
        <v>Corrugated Shipping Box - Large</v>
      </c>
      <c r="D56" t="str">
        <f>_xlfn.XLOOKUP(Inventory[[#This Row],[ProductID]],Products[ProductID],Products[Supplier],"Not Found")</f>
        <v>BoxWorks Canada</v>
      </c>
      <c r="E56">
        <f>_xlfn.XLOOKUP(Inventory[[#This Row],[ProductID]],Products[ProductID],Products[Cost/Unit],"Not Found")</f>
        <v>3.75</v>
      </c>
      <c r="F56">
        <f>_xlfn.XLOOKUP(Inventory[[#This Row],[ProductID]],Products[ProductID],Products[Reorder Level],"Not Found")</f>
        <v>100</v>
      </c>
      <c r="G56">
        <f>SUMIFS(Transactions[Quantity],Transactions[ProductID],Inventory[[#This Row],[ProductID]],Transactions[Site],Inventory[[#This Row],[Site]])</f>
        <v>25</v>
      </c>
      <c r="H56">
        <f>Inventory[[#This Row],[Cost/Unit]]*Inventory[[#This Row],[QuantityOnHand]]</f>
        <v>93.75</v>
      </c>
      <c r="I56" t="str">
        <f>IF(Inventory[[#This Row],[QuantityOnHand]]&lt;=Inventory[[#This Row],[Reorder Level]],"Yes","No")</f>
        <v>Yes</v>
      </c>
    </row>
    <row r="57" spans="1:9" x14ac:dyDescent="0.45">
      <c r="A57" s="78" t="s">
        <v>64</v>
      </c>
      <c r="B57" s="78" t="s">
        <v>83</v>
      </c>
      <c r="C57" t="str">
        <f>_xlfn.XLOOKUP(Inventory[[#This Row],[ProductID]],Products[ProductID],Products[Product Name],"Not Found")</f>
        <v>Corrugated Shipping Box - Large</v>
      </c>
      <c r="D57" t="str">
        <f>_xlfn.XLOOKUP(Inventory[[#This Row],[ProductID]],Products[ProductID],Products[Supplier],"Not Found")</f>
        <v>BoxWorks Canada</v>
      </c>
      <c r="E57">
        <f>_xlfn.XLOOKUP(Inventory[[#This Row],[ProductID]],Products[ProductID],Products[Cost/Unit],"Not Found")</f>
        <v>3.75</v>
      </c>
      <c r="F57">
        <f>_xlfn.XLOOKUP(Inventory[[#This Row],[ProductID]],Products[ProductID],Products[Reorder Level],"Not Found")</f>
        <v>100</v>
      </c>
      <c r="G57">
        <f>SUMIFS(Transactions[Quantity],Transactions[ProductID],Inventory[[#This Row],[ProductID]],Transactions[Site],Inventory[[#This Row],[Site]])</f>
        <v>0</v>
      </c>
      <c r="H57">
        <f>Inventory[[#This Row],[Cost/Unit]]*Inventory[[#This Row],[QuantityOnHand]]</f>
        <v>0</v>
      </c>
      <c r="I57" t="str">
        <f>IF(Inventory[[#This Row],[QuantityOnHand]]&lt;=Inventory[[#This Row],[Reorder Level]],"Yes","No")</f>
        <v>Yes</v>
      </c>
    </row>
    <row r="58" spans="1:9" x14ac:dyDescent="0.45">
      <c r="A58" s="78" t="s">
        <v>65</v>
      </c>
      <c r="B58" s="78" t="s">
        <v>83</v>
      </c>
      <c r="C58" t="str">
        <f>_xlfn.XLOOKUP(Inventory[[#This Row],[ProductID]],Products[ProductID],Products[Product Name],"Not Found")</f>
        <v>Corrugated Shipping Box - Large</v>
      </c>
      <c r="D58" t="str">
        <f>_xlfn.XLOOKUP(Inventory[[#This Row],[ProductID]],Products[ProductID],Products[Supplier],"Not Found")</f>
        <v>BoxWorks Canada</v>
      </c>
      <c r="E58">
        <f>_xlfn.XLOOKUP(Inventory[[#This Row],[ProductID]],Products[ProductID],Products[Cost/Unit],"Not Found")</f>
        <v>3.75</v>
      </c>
      <c r="F58">
        <f>_xlfn.XLOOKUP(Inventory[[#This Row],[ProductID]],Products[ProductID],Products[Reorder Level],"Not Found")</f>
        <v>100</v>
      </c>
      <c r="G58">
        <f>SUMIFS(Transactions[Quantity],Transactions[ProductID],Inventory[[#This Row],[ProductID]],Transactions[Site],Inventory[[#This Row],[Site]])</f>
        <v>0</v>
      </c>
      <c r="H58">
        <f>Inventory[[#This Row],[Cost/Unit]]*Inventory[[#This Row],[QuantityOnHand]]</f>
        <v>0</v>
      </c>
      <c r="I58" t="str">
        <f>IF(Inventory[[#This Row],[QuantityOnHand]]&lt;=Inventory[[#This Row],[Reorder Level]],"Yes","No")</f>
        <v>Yes</v>
      </c>
    </row>
    <row r="59" spans="1:9" x14ac:dyDescent="0.45">
      <c r="A59" s="78" t="s">
        <v>62</v>
      </c>
      <c r="B59" s="78" t="s">
        <v>84</v>
      </c>
      <c r="C59" t="str">
        <f>_xlfn.XLOOKUP(Inventory[[#This Row],[ProductID]],Products[ProductID],Products[Product Name],"Not Found")</f>
        <v>Stretch Wrap Roll</v>
      </c>
      <c r="D59" t="str">
        <f>_xlfn.XLOOKUP(Inventory[[#This Row],[ProductID]],Products[ProductID],Products[Supplier],"Not Found")</f>
        <v>PackRight Solutions</v>
      </c>
      <c r="E59">
        <f>_xlfn.XLOOKUP(Inventory[[#This Row],[ProductID]],Products[ProductID],Products[Cost/Unit],"Not Found")</f>
        <v>18.5</v>
      </c>
      <c r="F59">
        <f>_xlfn.XLOOKUP(Inventory[[#This Row],[ProductID]],Products[ProductID],Products[Reorder Level],"Not Found")</f>
        <v>75</v>
      </c>
      <c r="G59">
        <f>SUMIFS(Transactions[Quantity],Transactions[ProductID],Inventory[[#This Row],[ProductID]],Transactions[Site],Inventory[[#This Row],[Site]])</f>
        <v>0</v>
      </c>
      <c r="H59">
        <f>Inventory[[#This Row],[Cost/Unit]]*Inventory[[#This Row],[QuantityOnHand]]</f>
        <v>0</v>
      </c>
      <c r="I59" t="str">
        <f>IF(Inventory[[#This Row],[QuantityOnHand]]&lt;=Inventory[[#This Row],[Reorder Level]],"Yes","No")</f>
        <v>Yes</v>
      </c>
    </row>
    <row r="60" spans="1:9" x14ac:dyDescent="0.45">
      <c r="A60" s="78" t="s">
        <v>64</v>
      </c>
      <c r="B60" s="78" t="s">
        <v>84</v>
      </c>
      <c r="C60" t="str">
        <f>_xlfn.XLOOKUP(Inventory[[#This Row],[ProductID]],Products[ProductID],Products[Product Name],"Not Found")</f>
        <v>Stretch Wrap Roll</v>
      </c>
      <c r="D60" t="str">
        <f>_xlfn.XLOOKUP(Inventory[[#This Row],[ProductID]],Products[ProductID],Products[Supplier],"Not Found")</f>
        <v>PackRight Solutions</v>
      </c>
      <c r="E60">
        <f>_xlfn.XLOOKUP(Inventory[[#This Row],[ProductID]],Products[ProductID],Products[Cost/Unit],"Not Found")</f>
        <v>18.5</v>
      </c>
      <c r="F60">
        <f>_xlfn.XLOOKUP(Inventory[[#This Row],[ProductID]],Products[ProductID],Products[Reorder Level],"Not Found")</f>
        <v>75</v>
      </c>
      <c r="G60">
        <f>SUMIFS(Transactions[Quantity],Transactions[ProductID],Inventory[[#This Row],[ProductID]],Transactions[Site],Inventory[[#This Row],[Site]])</f>
        <v>25</v>
      </c>
      <c r="H60">
        <f>Inventory[[#This Row],[Cost/Unit]]*Inventory[[#This Row],[QuantityOnHand]]</f>
        <v>462.5</v>
      </c>
      <c r="I60" t="str">
        <f>IF(Inventory[[#This Row],[QuantityOnHand]]&lt;=Inventory[[#This Row],[Reorder Level]],"Yes","No")</f>
        <v>Yes</v>
      </c>
    </row>
    <row r="61" spans="1:9" x14ac:dyDescent="0.45">
      <c r="A61" s="78" t="s">
        <v>65</v>
      </c>
      <c r="B61" s="78" t="s">
        <v>84</v>
      </c>
      <c r="C61" t="str">
        <f>_xlfn.XLOOKUP(Inventory[[#This Row],[ProductID]],Products[ProductID],Products[Product Name],"Not Found")</f>
        <v>Stretch Wrap Roll</v>
      </c>
      <c r="D61" t="str">
        <f>_xlfn.XLOOKUP(Inventory[[#This Row],[ProductID]],Products[ProductID],Products[Supplier],"Not Found")</f>
        <v>PackRight Solutions</v>
      </c>
      <c r="E61">
        <f>_xlfn.XLOOKUP(Inventory[[#This Row],[ProductID]],Products[ProductID],Products[Cost/Unit],"Not Found")</f>
        <v>18.5</v>
      </c>
      <c r="F61">
        <f>_xlfn.XLOOKUP(Inventory[[#This Row],[ProductID]],Products[ProductID],Products[Reorder Level],"Not Found")</f>
        <v>75</v>
      </c>
      <c r="G61">
        <f>SUMIFS(Transactions[Quantity],Transactions[ProductID],Inventory[[#This Row],[ProductID]],Transactions[Site],Inventory[[#This Row],[Site]])</f>
        <v>0</v>
      </c>
      <c r="H61">
        <f>Inventory[[#This Row],[Cost/Unit]]*Inventory[[#This Row],[QuantityOnHand]]</f>
        <v>0</v>
      </c>
      <c r="I61" t="str">
        <f>IF(Inventory[[#This Row],[QuantityOnHand]]&lt;=Inventory[[#This Row],[Reorder Level]],"Yes","No")</f>
        <v>Yes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creatingtable</vt:lpstr>
      <vt:lpstr>Products</vt:lpstr>
      <vt:lpstr>Transactions</vt:lpstr>
      <vt:lpstr>Inventory Sheet</vt:lpstr>
      <vt:lpstr>ProductList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Malik McNish</cp:lastModifiedBy>
  <dcterms:created xsi:type="dcterms:W3CDTF">2026-09-09T19:32:28Z</dcterms:created>
  <dcterms:modified xsi:type="dcterms:W3CDTF">2026-09-10T02:30:21Z</dcterms:modified>
</cp:coreProperties>
</file>