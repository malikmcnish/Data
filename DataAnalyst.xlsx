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6EFF52E9-6564-4FA5-B2F1-60F277C96E58}" xr6:coauthVersionLast="47" xr6:coauthVersionMax="47" xr10:uidLastSave="{00000000-0000-0000-0000-000000000000}"/>
  <bookViews>
    <workbookView xWindow="-21720" yWindow="-9210" windowWidth="21840" windowHeight="13740" activeTab="4" xr2:uid="{00000000-000D-0000-FFFF-FFFF00000000}"/>
  </bookViews>
  <sheets>
    <sheet name="Sheet1" sheetId="1" r:id="rId1"/>
    <sheet name="creatingtable" sheetId="2" r:id="rId2"/>
    <sheet name="Products" sheetId="3" r:id="rId3"/>
    <sheet name="Transactions" sheetId="4" r:id="rId4"/>
    <sheet name="Inventory" sheetId="5" r:id="rId5"/>
    <sheet name="Order" sheetId="6" r:id="rId6"/>
  </sheets>
  <definedNames>
    <definedName name="ProductList">Products[ProductID]</definedName>
    <definedName name="Slicer_Supplier">#N/A</definedName>
  </definedNames>
  <calcPr calcId="191029"/>
  <pivotCaches>
    <pivotCache cacheId="39" r:id="rId7"/>
  </pivotCaches>
  <fileRecoveryPr repairLoad="1"/>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F12" i="5"/>
  <c r="I12" i="5" s="1"/>
  <c r="F13" i="5"/>
  <c r="I13" i="5" s="1"/>
  <c r="F14" i="5"/>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E12" i="5"/>
  <c r="E13" i="5"/>
  <c r="E14" i="5"/>
  <c r="E15" i="5"/>
  <c r="E16" i="5"/>
  <c r="E17" i="5"/>
  <c r="E18" i="5"/>
  <c r="E3" i="5"/>
  <c r="E19" i="5"/>
  <c r="E20" i="5"/>
  <c r="E21" i="5"/>
  <c r="E22" i="5"/>
  <c r="E23" i="5"/>
  <c r="E24" i="5"/>
  <c r="E25" i="5"/>
  <c r="E26" i="5"/>
  <c r="E27" i="5"/>
  <c r="E4" i="5"/>
  <c r="E28" i="5"/>
  <c r="E29" i="5"/>
  <c r="E30" i="5"/>
  <c r="E31" i="5"/>
  <c r="E32" i="5"/>
  <c r="E33" i="5"/>
  <c r="E34" i="5"/>
  <c r="E35" i="5"/>
  <c r="E5" i="5"/>
  <c r="E36" i="5"/>
  <c r="E37" i="5"/>
  <c r="E38" i="5"/>
  <c r="E6" i="5"/>
  <c r="E39" i="5"/>
  <c r="E40" i="5"/>
  <c r="E41" i="5"/>
  <c r="E7" i="5"/>
  <c r="E8" i="5"/>
  <c r="E42" i="5"/>
  <c r="E43" i="5"/>
  <c r="E44" i="5"/>
  <c r="E9" i="5"/>
  <c r="E45" i="5"/>
  <c r="E46" i="5"/>
  <c r="E47" i="5"/>
  <c r="E10" i="5"/>
  <c r="E11" i="5"/>
  <c r="E48" i="5"/>
  <c r="E49" i="5"/>
  <c r="E50" i="5"/>
  <c r="E51" i="5"/>
  <c r="E52" i="5"/>
  <c r="E53" i="5"/>
  <c r="E54" i="5"/>
  <c r="E55" i="5"/>
  <c r="E56" i="5"/>
  <c r="E57" i="5"/>
  <c r="E58" i="5"/>
  <c r="E59" i="5"/>
  <c r="E60" i="5"/>
  <c r="E61" i="5"/>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4" i="5" l="1"/>
  <c r="I2" i="5"/>
  <c r="H2" i="5"/>
  <c r="H12" i="5"/>
  <c r="H13" i="5"/>
  <c r="H14" i="5"/>
  <c r="H15" i="5"/>
  <c r="H16" i="5"/>
  <c r="H17" i="5"/>
  <c r="H18" i="5"/>
  <c r="H3" i="5"/>
  <c r="H19" i="5"/>
  <c r="H20" i="5"/>
  <c r="H21" i="5"/>
  <c r="H22" i="5"/>
  <c r="H23" i="5"/>
  <c r="H24" i="5"/>
  <c r="H25" i="5"/>
  <c r="H26" i="5"/>
  <c r="H27" i="5"/>
  <c r="H4" i="5"/>
  <c r="H28" i="5"/>
  <c r="H29" i="5"/>
  <c r="H30" i="5"/>
  <c r="H31" i="5"/>
  <c r="H32" i="5"/>
  <c r="H33" i="5"/>
  <c r="H34" i="5"/>
  <c r="H35" i="5"/>
  <c r="H5" i="5"/>
  <c r="H36" i="5"/>
  <c r="H37" i="5"/>
  <c r="H38" i="5"/>
  <c r="H6" i="5"/>
  <c r="H39" i="5"/>
  <c r="H40" i="5"/>
  <c r="H41" i="5"/>
  <c r="H7" i="5"/>
  <c r="H8" i="5"/>
  <c r="H42" i="5"/>
  <c r="H43" i="5"/>
  <c r="H44" i="5"/>
  <c r="H9" i="5"/>
  <c r="H45" i="5"/>
  <c r="H46" i="5"/>
  <c r="H47" i="5"/>
  <c r="H10" i="5"/>
  <c r="H11" i="5"/>
  <c r="H48" i="5"/>
  <c r="H49" i="5"/>
  <c r="H50" i="5"/>
  <c r="H51" i="5"/>
  <c r="H52" i="5"/>
  <c r="H53" i="5"/>
  <c r="H54" i="5"/>
  <c r="H55" i="5"/>
  <c r="H56" i="5"/>
  <c r="H57" i="5"/>
  <c r="H58" i="5"/>
  <c r="H59" i="5"/>
  <c r="H60" i="5"/>
  <c r="H61" i="5"/>
  <c r="I16" i="5"/>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<sst xmlns="http://schemas.openxmlformats.org/spreadsheetml/2006/main" count="851" uniqueCount="332">
  <si>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</si>
  <si>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</si>
  <si>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</si>
  <si>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</si>
  <si>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</si>
  <si>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</si>
  <si>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</si>
  <si>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</si>
  <si>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</si>
  <si>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</si>
  <si>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</si>
  <si>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</si>
  <si>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</si>
  <si>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</si>
  <si>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</si>
  <si>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</si>
  <si>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</si>
  <si>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</si>
  <si>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</si>
  <si>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</si>
  <si>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</si>
  <si>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</si>
  <si>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</si>
  <si>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</si>
  <si>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</si>
  <si>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</si>
  <si>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</si>
  <si>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</si>
  <si>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</si>
  <si>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</si>
  <si>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</si>
  <si>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</si>
  <si>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</si>
  <si>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</si>
  <si>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</si>
  <si>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</si>
  <si>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</si>
  <si>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</si>
  <si>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</si>
  <si>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</si>
  <si>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</si>
  <si>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</si>
  <si>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</si>
  <si>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</si>
  <si>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</si>
  <si>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</si>
  <si>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</si>
  <si>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</si>
  <si>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</si>
  <si>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</si>
  <si>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</si>
  <si>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</si>
  <si>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</si>
  <si>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</si>
  <si>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</si>
  <si>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</si>
  <si>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</si>
  <si>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</si>
  <si>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</si>
  <si>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</si>
  <si>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</si>
  <si>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</si>
  <si>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</si>
  <si>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</si>
  <si>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</si>
  <si>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</si>
  <si>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</si>
  <si>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</si>
  <si>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</si>
  <si>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</si>
  <si>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</si>
  <si>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</si>
  <si>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</si>
  <si>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</si>
  <si>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</si>
  <si>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</si>
  <si>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</si>
  <si>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</si>
  <si>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</si>
  <si>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</si>
  <si>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</si>
  <si>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</si>
  <si>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</si>
  <si>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</si>
  <si>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</si>
  <si>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</si>
  <si>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</si>
  <si>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</si>
  <si>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</si>
  <si>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</si>
  <si>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</si>
  <si>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</si>
  <si>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</si>
  <si>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</si>
  <si>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</si>
  <si>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</si>
  <si>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</si>
  <si>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</si>
  <si>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</si>
  <si>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</si>
  <si>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</si>
  <si>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</si>
  <si>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</si>
  <si>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</si>
  <si>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</si>
  <si>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</si>
  <si>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</si>
  <si>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</si>
  <si>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</si>
  <si>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</si>
  <si>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</si>
  <si>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</si>
  <si>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</si>
  <si>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</si>
  <si>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</si>
  <si>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</si>
  <si>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</si>
  <si>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</si>
  <si>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</si>
  <si>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</si>
  <si>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</si>
  <si>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</si>
  <si>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</si>
  <si>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</si>
  <si>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</si>
  <si>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</si>
  <si>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</si>
  <si>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</si>
  <si>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</si>
  <si>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</si>
  <si>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</si>
  <si>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</si>
  <si>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</si>
  <si>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</si>
  <si>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</si>
  <si>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</si>
  <si>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</si>
  <si>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</si>
  <si>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</si>
  <si>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</si>
  <si>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</si>
  <si>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</si>
  <si>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</si>
  <si>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</si>
  <si>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</si>
  <si>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</si>
  <si>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</si>
  <si>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</si>
  <si>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</si>
  <si>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</si>
  <si>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</si>
  <si>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</si>
  <si>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</si>
  <si>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</si>
  <si>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</si>
  <si>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</si>
  <si>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</si>
  <si>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</si>
  <si>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</si>
  <si>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</si>
  <si>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</si>
  <si>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</si>
  <si>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</si>
  <si>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</si>
  <si>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</si>
  <si>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</si>
  <si>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</si>
  <si>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</si>
  <si>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</si>
  <si>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</si>
  <si>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</si>
  <si>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</si>
  <si>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</si>
  <si>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</si>
  <si>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</si>
  <si>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</si>
  <si>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</si>
  <si>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</si>
  <si>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</si>
  <si>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</si>
  <si>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</si>
  <si>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</si>
  <si>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</si>
  <si>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</si>
  <si>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</si>
  <si>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</si>
  <si>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</si>
  <si>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</si>
  <si>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</si>
  <si>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</si>
  <si>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</si>
  <si>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</si>
  <si>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</si>
  <si>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</si>
  <si>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</si>
  <si>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</si>
  <si>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</si>
  <si>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</si>
  <si>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</si>
  <si>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</si>
  <si>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</si>
  <si>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</si>
  <si>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</si>
  <si>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</si>
  <si>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</si>
  <si>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</si>
  <si>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</si>
  <si>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</si>
  <si>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</si>
  <si>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</si>
  <si>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</si>
  <si>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</si>
  <si>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</si>
  <si>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</si>
  <si>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</si>
  <si>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</si>
  <si>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</si>
  <si>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</si>
  <si>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</si>
  <si>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</si>
  <si>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</si>
  <si>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</si>
  <si>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</si>
  <si>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</si>
  <si>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</si>
  <si>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</si>
  <si>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</si>
  <si>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</si>
  <si>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</si>
  <si>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</si>
  <si>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</si>
  <si>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</si>
  <si>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</si>
  <si>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</si>
  <si>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</si>
  <si>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</si>
  <si>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</si>
  <si>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</si>
  <si>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</si>
  <si>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</si>
  <si>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</si>
  <si>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</si>
  <si>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</si>
  <si>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</si>
  <si>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</si>
  <si>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</si>
  <si>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</si>
  <si>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</si>
  <si>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</si>
  <si>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</si>
  <si>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</si>
  <si>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</si>
  <si>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</si>
  <si>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</si>
  <si>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</si>
  <si>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</si>
  <si>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</si>
  <si>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</si>
  <si>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</si>
  <si>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</si>
  <si>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</si>
  <si>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</si>
  <si>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</si>
  <si>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</si>
  <si>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</si>
  <si>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</si>
  <si>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</si>
  <si>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</si>
  <si>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</si>
  <si>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</si>
  <si>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</si>
  <si>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</si>
  <si>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</si>
  <si>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</si>
  <si>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</si>
  <si>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</si>
  <si>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</si>
  <si>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</si>
  <si>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</si>
  <si>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</si>
  <si>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</si>
  <si>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</si>
  <si>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</si>
  <si>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</si>
  <si>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</si>
  <si>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</si>
  <si>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</si>
  <si>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</si>
  <si>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</si>
  <si>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</si>
  <si>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</si>
  <si>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</si>
  <si>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</si>
  <si>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</si>
  <si>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</si>
  <si>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</si>
  <si>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</si>
  <si>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</si>
  <si>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</si>
  <si>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</si>
  <si>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</si>
  <si>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</si>
  <si>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</si>
  <si>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</si>
  <si>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</si>
  <si>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</si>
  <si>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</si>
  <si>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</si>
  <si>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</si>
  <si>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</si>
  <si>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</si>
  <si>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</si>
  <si>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</si>
  <si>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</si>
  <si>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</si>
  <si>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</si>
  <si>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</si>
  <si>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</si>
  <si>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</si>
  <si>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</si>
  <si>
    <t>T061</t>
  </si>
  <si>
    <t>T062</t>
  </si>
  <si>
    <t>T063</t>
  </si>
  <si>
    <t>T064</t>
  </si>
  <si>
    <t>T065</t>
  </si>
  <si>
    <t>T066</t>
  </si>
  <si>
    <t>T067</t>
  </si>
  <si>
    <t>T068</t>
  </si>
  <si>
    <t>T069</t>
  </si>
  <si>
    <t>T070</t>
  </si>
  <si>
    <t>T071</t>
  </si>
  <si>
    <t>T072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</si>
</sst>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quot;$&quot;#,##0.00"/>
    <numFmt numFmtId="44" formatCode="_-&quot;$&quot;* #,##0.00_-;\-&quot;$&quot;* #,##0.00_-;_-&quot;$&quot;* &quot;-&quot;??_-;_-@_-"/>
    <numFmt numFmtId="43" formatCode="_-* #,##0.00_-;\-* #,##0.00_-;_-* &quot;-&quot;??_-;_-@_-"/>
    <numFmt numFmtId="164" formatCode="mmm/dd"/>
  </numFmts>
  <fonts count="12"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6">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xf numFmtId="14" fontId="0" fillId="0" borderId="0" xfId="0" applyNumberFormat="1" applyAlignment="1">
      <alignment horizontal="center"/>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8">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31"/>
    <tableColumn id="2" xr3:uid="{00000000-0010-0000-0000-000002000000}" name="COMPANIES" totalsRowDxfId="30"/>
    <tableColumn id="3" xr3:uid="{00000000-0010-0000-0000-000003000000}" name="NUMBER OF EMPLOYEES" totalsRowDxfId="29"/>
    <tableColumn id="4" xr3:uid="{00000000-0010-0000-0000-000004000000}" name="COLOR" totalsRowDxfId="28"/>
    <tableColumn id="5" xr3:uid="{00000000-0010-0000-0000-000005000000}" name="LAUNCH DATE" totalsRowDxfId="27"/>
    <tableColumn id="6" xr3:uid="{00000000-0010-0000-0000-000006000000}" name="QUANTITY" totalsRowFunction="sum" totalsRowDxfId="26"/>
    <tableColumn id="7" xr3:uid="{00000000-0010-0000-0000-000007000000}" name="PRICE" totalsRowFunction="sum" totalsRowDxfId="25"/>
    <tableColumn id="8" xr3:uid="{00000000-0010-0000-0000-000008000000}" name="AMOUNT" totalsRowFunction="sum" totalsRowDxfId="24"/>
    <tableColumn id="9" xr3:uid="{00000000-0010-0000-0000-000009000000}" name="QUANTITY " totalsRowDxfId="23"/>
    <tableColumn id="10" xr3:uid="{00000000-0010-0000-0000-00000A000000}" name="PRICE " totalsRowDxfId="22"/>
    <tableColumn id="11" xr3:uid="{00000000-0010-0000-0000-00000B000000}" name="AMOUNT " totalsRowFunction="sum" totalsRowDxfId="21"/>
    <tableColumn id="12" xr3:uid="{00000000-0010-0000-0000-00000C000000}" name="QUANTITY  " totalsRowDxfId="20"/>
    <tableColumn id="13" xr3:uid="{00000000-0010-0000-0000-00000D000000}" name="PRICE  " totalsRowDxfId="19"/>
    <tableColumn id="14" xr3:uid="{00000000-0010-0000-0000-00000E000000}" name="AMOUNT  " totalsRowFunction="sum" totalsRowDxfId="18"/>
    <tableColumn id="15" xr3:uid="{00000000-0010-0000-0000-00000F000000}" name="TOTAL" totalsRowFunction="sum" totalsRowDxfId="1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6">
  <autoFilter ref="A1:F61" xr:uid="{40BC2372-BD88-49F5-808E-66ED1AE47FE9}"/>
  <tableColumns count="6">
    <tableColumn id="1" xr3:uid="{E8F4DFB0-EC56-4CBF-9F8C-23EDCA50F713}" name="ProductID" dataCellStyle="Normal 3"/>
    <tableColumn id="2" xr3:uid="{01A2DB73-B8C2-4A45-A7CC-94CB4A4A2FEF}" name="Product Name" dataDxfId="15" dataCellStyle="Comma 2"/>
    <tableColumn id="3" xr3:uid="{D7712E33-EC2C-4BBC-9183-D4083230AE51}" name="Category" dataCellStyle="Normal 3"/>
    <tableColumn id="4" xr3:uid="{10280736-93EE-4A73-97B0-1F59FABAB46F}" name="Cost/Unit" dataDxfId="14" dataCellStyle="Comma 2"/>
    <tableColumn id="5" xr3:uid="{AC22B57B-F391-4278-9CEA-6381C3C7599A}" name="Reorder Level" dataDxfId="13" dataCellStyle="Normal 3"/>
    <tableColumn id="6" xr3:uid="{ECE3A126-A7F6-4E8A-B4CA-AC1B78868DAB}" name="Supplier" dataDxfId="12"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73" totalsRowShown="0" headerRowDxfId="3">
  <autoFilter ref="A1:F73" xr:uid="{03C4EC66-596A-4191-8AD5-8C56A2B0936F}"/>
  <tableColumns count="6">
    <tableColumn id="1" xr3:uid="{CF0FBA31-2E94-4135-8B0A-A8ADD4C1D54E}" name="TransID"/>
    <tableColumn id="2" xr3:uid="{EB83FE89-2487-49C6-80BE-246C3764EFC8}" name="Date" dataDxfId="2"/>
    <tableColumn id="3" xr3:uid="{FE85118D-4F73-4CC4-947F-D727DBCF045B}" name="ProductID"/>
    <tableColumn id="4" xr3:uid="{890FE897-5C0E-4846-94E3-254F9AB59CC8}" name="Site" dataDxfId="1"/>
    <tableColumn id="5" xr3:uid="{D5DF56AA-CF75-4D46-9133-AE66DE368857}" name="Quantity" dataDxfId="0"/>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1" totalsRowShown="0" headerRowDxfId="4" headerRowCellStyle="Normal 9">
  <autoFilter ref="A1:J61" xr:uid="{A5DC87FD-A8D1-440B-BAC9-DE34E48E5936}"/>
  <sortState xmlns:xlrd2="http://schemas.microsoft.com/office/spreadsheetml/2017/richdata2" ref="A2:J61">
    <sortCondition ref="I1:I61"/>
  </sortState>
  <tableColumns count="10">
    <tableColumn id="1" xr3:uid="{E8701318-3AEB-41C8-947D-8F382111F831}" name="Site" dataCellStyle="Normal 10"/>
    <tableColumn id="2" xr3:uid="{A8F9A49C-2A9D-43FA-9513-36E70E2B2700}" name="ProductID" dataCellStyle="Normal 10"/>
    <tableColumn id="3" xr3:uid="{DD7691E1-3B82-419A-A596-FD7160832936}" name="Product Description" dataDxfId="37">
      <calculatedColumnFormula>_xlfn.XLOOKUP(Inventory[[#This Row],[ProductID]],Products[ProductID],Products[Product Name],"Not Found")</calculatedColumnFormula>
    </tableColumn>
    <tableColumn id="4" xr3:uid="{3B6081B7-6D7B-40BA-B050-3F97A1DD80EA}" name="Supplier" dataDxfId="36">
      <calculatedColumnFormula>_xlfn.XLOOKUP(Inventory[[#This Row],[ProductID]],Products[ProductID],Products[Supplier],"Not Found")</calculatedColumnFormula>
    </tableColumn>
    <tableColumn id="5" xr3:uid="{8BF557DE-8E2B-4AE9-8A66-D281C045EF9F}" name="Cost/Unit" dataDxfId="35">
      <calculatedColumnFormula>_xlfn.XLOOKUP(Inventory[[#This Row],[ProductID]],Products[ProductID],Products[Cost/Unit],"Not Found")</calculatedColumnFormula>
    </tableColumn>
    <tableColumn id="6" xr3:uid="{82A09554-3010-4D9D-867D-4111E1CD453F}" name="Reorder Level" dataDxfId="34">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dataDxfId="33">
      <calculatedColumnFormula>Inventory[[#This Row],[Cost/Unit]]*Inventory[[#This Row],[QuantityOnHand]]</calculatedColumnFormula>
    </tableColumn>
    <tableColumn id="9" xr3:uid="{1AD33891-BE48-4965-8EAA-F8F9DE5AFD47}" name="Reorder" dataDxfId="32">
      <calculatedColumnFormula>IF(Inventory[[#This Row],[QuantityOnHand]]&lt;=Inventory[[#This Row],[Reorder Level]],"Yes","No")</calculatedColumnFormula>
    </tableColumn>
    <tableColumn id="10" xr3:uid="{02298217-ED20-499A-84FA-6F2061FCCDF1}" name="Order Dat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sqref="A1:XFD1"/>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73"/>
  <sheetViews>
    <sheetView topLeftCell="A54" workbookViewId="0">
      <selection activeCell="L70" sqref="L70"/>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row r="62" spans="1:6" x14ac:dyDescent="0.45">
      <c r="A62" t="s">
        <v>320</v>
      </c>
      <c r="B62" s="85">
        <v>45910</v>
      </c>
      <c r="C62" t="s">
        <v>75</v>
      </c>
      <c r="D62" s="65" t="s">
        <v>62</v>
      </c>
      <c r="E62" s="65">
        <v>10</v>
      </c>
      <c r="F62" t="s">
        <v>303</v>
      </c>
    </row>
    <row r="63" spans="1:6" x14ac:dyDescent="0.45">
      <c r="A63" t="s">
        <v>321</v>
      </c>
      <c r="B63" s="85">
        <v>45910</v>
      </c>
      <c r="C63" t="s">
        <v>77</v>
      </c>
      <c r="D63" s="65" t="s">
        <v>65</v>
      </c>
      <c r="E63" s="65">
        <v>20</v>
      </c>
      <c r="F63" t="s">
        <v>303</v>
      </c>
    </row>
    <row r="64" spans="1:6" x14ac:dyDescent="0.45">
      <c r="A64" t="s">
        <v>322</v>
      </c>
      <c r="B64" s="85">
        <v>45910</v>
      </c>
      <c r="C64" t="s">
        <v>84</v>
      </c>
      <c r="D64" s="65" t="s">
        <v>65</v>
      </c>
      <c r="E64" s="65">
        <v>10</v>
      </c>
      <c r="F64" t="s">
        <v>303</v>
      </c>
    </row>
    <row r="65" spans="1:6" x14ac:dyDescent="0.45">
      <c r="A65" t="s">
        <v>323</v>
      </c>
      <c r="B65" s="85">
        <v>45910</v>
      </c>
      <c r="C65" t="s">
        <v>74</v>
      </c>
      <c r="D65" s="65" t="s">
        <v>64</v>
      </c>
      <c r="E65" s="65">
        <v>10</v>
      </c>
      <c r="F65" t="s">
        <v>303</v>
      </c>
    </row>
    <row r="66" spans="1:6" x14ac:dyDescent="0.45">
      <c r="A66" t="s">
        <v>324</v>
      </c>
      <c r="B66" s="85">
        <v>45910</v>
      </c>
      <c r="C66" t="s">
        <v>77</v>
      </c>
      <c r="D66" s="65" t="s">
        <v>64</v>
      </c>
      <c r="E66" s="65">
        <v>20</v>
      </c>
      <c r="F66" t="s">
        <v>303</v>
      </c>
    </row>
    <row r="67" spans="1:6" x14ac:dyDescent="0.45">
      <c r="A67" t="s">
        <v>325</v>
      </c>
      <c r="B67" s="85">
        <v>45911</v>
      </c>
      <c r="C67" t="s">
        <v>70</v>
      </c>
      <c r="D67" s="65" t="s">
        <v>65</v>
      </c>
      <c r="E67" s="65">
        <v>12</v>
      </c>
      <c r="F67" t="s">
        <v>303</v>
      </c>
    </row>
    <row r="68" spans="1:6" x14ac:dyDescent="0.45">
      <c r="A68" t="s">
        <v>326</v>
      </c>
      <c r="B68" s="85">
        <v>45911</v>
      </c>
      <c r="C68" t="s">
        <v>74</v>
      </c>
      <c r="D68" s="65" t="s">
        <v>62</v>
      </c>
      <c r="E68" s="65">
        <v>10</v>
      </c>
      <c r="F68" t="s">
        <v>303</v>
      </c>
    </row>
    <row r="69" spans="1:6" x14ac:dyDescent="0.45">
      <c r="A69" t="s">
        <v>327</v>
      </c>
      <c r="B69" s="85">
        <v>45911</v>
      </c>
      <c r="C69" t="s">
        <v>77</v>
      </c>
      <c r="D69" s="65" t="s">
        <v>64</v>
      </c>
      <c r="E69" s="65">
        <v>20</v>
      </c>
      <c r="F69" t="s">
        <v>303</v>
      </c>
    </row>
    <row r="70" spans="1:6" x14ac:dyDescent="0.45">
      <c r="A70" t="s">
        <v>328</v>
      </c>
      <c r="B70" s="85">
        <v>45912</v>
      </c>
      <c r="C70" t="s">
        <v>69</v>
      </c>
      <c r="D70" s="65" t="s">
        <v>62</v>
      </c>
      <c r="E70" s="65">
        <v>-25</v>
      </c>
      <c r="F70" t="s">
        <v>302</v>
      </c>
    </row>
    <row r="71" spans="1:6" x14ac:dyDescent="0.45">
      <c r="A71" t="s">
        <v>329</v>
      </c>
      <c r="B71" s="85">
        <v>45912</v>
      </c>
      <c r="C71" t="s">
        <v>78</v>
      </c>
      <c r="D71" s="65" t="s">
        <v>64</v>
      </c>
      <c r="E71" s="65">
        <v>-1</v>
      </c>
      <c r="F71" t="s">
        <v>302</v>
      </c>
    </row>
    <row r="72" spans="1:6" x14ac:dyDescent="0.45">
      <c r="A72" t="s">
        <v>330</v>
      </c>
      <c r="B72" s="85">
        <v>45912</v>
      </c>
      <c r="C72" t="s">
        <v>83</v>
      </c>
      <c r="D72" s="65" t="s">
        <v>65</v>
      </c>
      <c r="E72" s="65">
        <v>-2</v>
      </c>
      <c r="F72" t="s">
        <v>302</v>
      </c>
    </row>
    <row r="73" spans="1:6" x14ac:dyDescent="0.45">
      <c r="A73" t="s">
        <v>331</v>
      </c>
      <c r="B73" s="85">
        <v>45913</v>
      </c>
      <c r="C73" t="s">
        <v>66</v>
      </c>
      <c r="D73" s="65" t="s">
        <v>62</v>
      </c>
      <c r="E73" s="65">
        <v>-8</v>
      </c>
      <c r="F73" t="s">
        <v>302</v>
      </c>
    </row>
  </sheetData>
  <phoneticPr fontId="10" type="noConversion"/>
  <dataValidations count="1">
    <dataValidation type="list" allowBlank="1" showInputMessage="1" showErrorMessage="1" sqref="C2:C73"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1"/>
  <sheetViews>
    <sheetView tabSelected="1" topLeftCell="A2" workbookViewId="0">
      <selection activeCell="E22" sqref="E22"/>
    </sheetView>
  </sheetViews>
  <sheetFormatPr defaultRowHeight="14.25" x14ac:dyDescent="0.45"/>
  <cols>
    <col min="1" max="1" width="10.59765625" customWidth="1"/>
    <col min="2" max="2" width="10.9296875" customWidth="1"/>
    <col min="3" max="6" width="30.19921875" bestFit="1" customWidth="1"/>
    <col min="7" max="7" width="16.6640625" customWidth="1"/>
    <col min="8" max="8" width="12.3984375" customWidth="1"/>
    <col min="9" max="9" width="11.796875" customWidth="1"/>
    <col min="10" max="10" width="11.86328125"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45</v>
      </c>
      <c r="H5">
        <f>Inventory[[#This Row],[Cost/Unit]]*Inventory[[#This Row],[QuantityOnHand]]</f>
        <v>5625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49</v>
      </c>
      <c r="H9">
        <f>Inventory[[#This Row],[Cost/Unit]]*Inventory[[#This Row],[QuantityOnHand]]</f>
        <v>7105</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-8</v>
      </c>
      <c r="H14">
        <f>Inventory[[#This Row],[Cost/Unit]]*Inventory[[#This Row],[QuantityOnHand]]</f>
        <v>-680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-25</v>
      </c>
      <c r="H22">
        <f>Inventory[[#This Row],[Cost/Unit]]*Inventory[[#This Row],[QuantityOnHand]]</f>
        <v>-362.5</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26</v>
      </c>
      <c r="H27">
        <f>Inventory[[#This Row],[Cost/Unit]]*Inventory[[#This Row],[QuantityOnHand]]</f>
        <v>468</v>
      </c>
      <c r="I27" t="str">
        <f>IF(Inventory[[#This Row],[QuantityOnHand]]&lt;=Inventory[[#This Row],[Reorder Level]],"Yes","No")</f>
        <v>No</v>
      </c>
      <c r="J27" s="76"/>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10</v>
      </c>
      <c r="H36">
        <f>Inventory[[#This Row],[Cost/Unit]]*Inventory[[#This Row],[QuantityOnHand]]</f>
        <v>1250</v>
      </c>
      <c r="I36" t="str">
        <f>IF(Inventory[[#This Row],[QuantityOnHand]]&lt;=Inventory[[#This Row],[Reorder Level]],"Yes","No")</f>
        <v>No</v>
      </c>
      <c r="J36" s="76"/>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10</v>
      </c>
      <c r="H38">
        <f>Inventory[[#This Row],[Cost/Unit]]*Inventory[[#This Row],[QuantityOnHand]]</f>
        <v>4750</v>
      </c>
      <c r="I38" t="str">
        <f>IF(Inventory[[#This Row],[QuantityOnHand]]&lt;=Inventory[[#This Row],[Reorder Level]],"Yes","No")</f>
        <v>No</v>
      </c>
      <c r="J38" s="76"/>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40</v>
      </c>
      <c r="H42">
        <f>Inventory[[#This Row],[Cost/Unit]]*Inventory[[#This Row],[QuantityOnHand]]</f>
        <v>260</v>
      </c>
      <c r="I42" t="str">
        <f>IF(Inventory[[#This Row],[QuantityOnHand]]&lt;=Inventory[[#This Row],[Reorder Level]],"Yes","No")</f>
        <v>No</v>
      </c>
      <c r="J42" s="76"/>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20</v>
      </c>
      <c r="H43">
        <f>Inventory[[#This Row],[Cost/Unit]]*Inventory[[#This Row],[QuantityOnHand]]</f>
        <v>130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-2</v>
      </c>
      <c r="H58">
        <f>Inventory[[#This Row],[Cost/Unit]]*Inventory[[#This Row],[QuantityOnHand]]</f>
        <v>-7.5</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10</v>
      </c>
      <c r="H61">
        <f>Inventory[[#This Row],[Cost/Unit]]*Inventory[[#This Row],[QuantityOnHand]]</f>
        <v>185</v>
      </c>
      <c r="I61" t="str">
        <f>IF(Inventory[[#This Row],[QuantityOnHand]]&lt;=Inventory[[#This Row],[Reorder Level]],"Yes","No")</f>
        <v>Yes</v>
      </c>
      <c r="J61" s="76">
        <v>46334</v>
      </c>
    </row>
  </sheetData>
  <conditionalFormatting sqref="I1:I1048576">
    <cfRule type="containsText" dxfId="8" priority="4" operator="containsText" text="Yes">
      <formula>NOT(ISERROR(SEARCH("Yes",I1)))</formula>
    </cfRule>
    <cfRule type="containsText" dxfId="7" priority="3" operator="containsText" text="No">
      <formula>NOT(ISERROR(SEARCH("No",I1)))</formula>
    </cfRule>
  </conditionalFormatting>
  <conditionalFormatting sqref="H1:H1048576">
    <cfRule type="dataBar" priority="2">
      <dataBar>
        <cfvo type="min"/>
        <cfvo type="max"/>
        <color rgb="FFFFB628"/>
      </dataBar>
      <extLst>
        <ext xmlns:x14="http://schemas.microsoft.com/office/spreadsheetml/2009/9/main" uri="{B025F937-C7B1-47D3-B67F-A62EFF666E3E}">
          <x14:id>{DA699FD3-20CD-4065-9BA7-E2DA1B7037F2}</x14:id>
        </ext>
      </extLst>
    </cfRule>
    <cfRule type="iconSet" priority="1">
      <iconSet iconSet="3Arrows">
        <cfvo type="percent" val="0"/>
        <cfvo type="percent" val="33"/>
        <cfvo type="percent" val="67"/>
      </iconSe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dimension ref="A1:E96"/>
  <sheetViews>
    <sheetView workbookViewId="0">
      <selection activeCell="H26" sqref="H26"/>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319</v>
      </c>
    </row>
    <row r="2" spans="1:5" x14ac:dyDescent="0.45">
      <c r="A2" s="77" t="s">
        <v>91</v>
      </c>
      <c r="B2" t="s">
        <v>304</v>
      </c>
    </row>
    <row r="4" spans="1:5" x14ac:dyDescent="0.45">
      <c r="A4" s="77" t="s">
        <v>308</v>
      </c>
      <c r="B4" s="77" t="s">
        <v>307</v>
      </c>
    </row>
    <row r="5" spans="1:5" x14ac:dyDescent="0.45">
      <c r="A5" s="77" t="s">
        <v>305</v>
      </c>
      <c r="B5" t="s">
        <v>62</v>
      </c>
      <c r="C5" t="s">
        <v>64</v>
      </c>
      <c r="D5" t="s">
        <v>65</v>
      </c>
      <c r="E5" t="s">
        <v>306</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309</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310</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311</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312</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313</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314</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315</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316</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317</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318</v>
      </c>
      <c r="B94" s="79">
        <v>65</v>
      </c>
      <c r="C94" s="79">
        <v>65</v>
      </c>
      <c r="D94" s="79">
        <v>65</v>
      </c>
      <c r="E94" s="79">
        <v>195</v>
      </c>
    </row>
    <row r="95" spans="1:5" x14ac:dyDescent="0.45">
      <c r="A95" s="78"/>
      <c r="B95" s="79"/>
      <c r="C95" s="79"/>
      <c r="D95" s="79"/>
      <c r="E95" s="79"/>
    </row>
    <row r="96" spans="1:5" x14ac:dyDescent="0.45">
      <c r="A96" s="78" t="s">
        <v>306</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Sheet1</vt:lpstr>
      <vt:lpstr>creatingtable</vt:lpstr>
      <vt:lpstr>Products</vt:lpstr>
      <vt:lpstr>Transactions</vt:lpstr>
      <vt:lpstr>Inventory</vt:lpstr>
      <vt:lpstr>Order</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2026-09-11T19:42:09Z</dcterms:modified>
</cp:coreProperties>
</file>